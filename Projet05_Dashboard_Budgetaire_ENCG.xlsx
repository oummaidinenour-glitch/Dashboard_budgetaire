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Dashboard" sheetId="1" state="visible" r:id="rId1"/>
    <sheet xmlns:r="http://schemas.openxmlformats.org/officeDocument/2006/relationships" name="📊 Données Brutes" sheetId="2" state="visible" r:id="rId2"/>
    <sheet xmlns:r="http://schemas.openxmlformats.org/officeDocument/2006/relationships" name="📋 Analyse Départements" sheetId="3" state="visible" r:id="rId3"/>
    <sheet xmlns:r="http://schemas.openxmlformats.org/officeDocument/2006/relationships" name="📈 Analyse Postes &amp; Ale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MAD&quot;"/>
    <numFmt numFmtId="165" formatCode="0.0%"/>
    <numFmt numFmtId="166" formatCode="#,##0 &quot;MAD&quot;;(#,##0) &quot;MAD&quot;"/>
    <numFmt numFmtId="167" formatCode="0 &quot;lignes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b val="1"/>
      <color rgb="00FFFFFF"/>
      <sz val="9"/>
    </font>
    <font>
      <name val="Arial"/>
      <b val="1"/>
      <color rgb="00FFFFFF"/>
      <sz val="22"/>
    </font>
    <font>
      <name val="Arial"/>
      <color rgb="002E75B6"/>
      <sz val="10"/>
    </font>
    <font>
      <name val="Arial"/>
      <b val="1"/>
      <color rgb="001F3864"/>
      <sz val="15"/>
    </font>
    <font>
      <name val="Arial"/>
      <b val="1"/>
      <color rgb="00FFFFFF"/>
    </font>
    <font>
      <name val="Arial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/>
    </border>
    <border>
      <left style="medium">
        <color rgb="002E75B6"/>
      </left>
      <right style="medium">
        <color rgb="002E75B6"/>
      </right>
      <top/>
      <bottom/>
    </border>
    <border>
      <left style="medium">
        <color rgb="002E75B6"/>
      </left>
      <right style="medium">
        <color rgb="002E75B6"/>
      </right>
      <top/>
      <bottom style="medium">
        <color rgb="002E75B6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164" fontId="9" fillId="6" borderId="3" applyAlignment="1" pivotButton="0" quotePrefix="0" xfId="0">
      <alignment horizontal="center" vertical="center" wrapText="1"/>
    </xf>
    <xf numFmtId="164" fontId="9" fillId="8" borderId="3" applyAlignment="1" pivotButton="0" quotePrefix="0" xfId="0">
      <alignment horizontal="center" vertical="center" wrapText="1"/>
    </xf>
    <xf numFmtId="165" fontId="9" fillId="10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8" borderId="3" pivotButton="0" quotePrefix="0" xfId="0"/>
    <xf numFmtId="0" fontId="0" fillId="10" borderId="3" pivotButton="0" quotePrefix="0" xfId="0"/>
    <xf numFmtId="0" fontId="0" fillId="6" borderId="4" pivotButton="0" quotePrefix="0" xfId="0"/>
    <xf numFmtId="0" fontId="0" fillId="8" borderId="4" pivotButton="0" quotePrefix="0" xfId="0"/>
    <xf numFmtId="0" fontId="0" fillId="10" borderId="4" pivotButton="0" quotePrefix="0" xfId="0"/>
    <xf numFmtId="167" fontId="9" fillId="8" borderId="3" applyAlignment="1" pivotButton="0" quotePrefix="0" xfId="0">
      <alignment horizontal="center" vertical="center" wrapText="1"/>
    </xf>
    <xf numFmtId="167" fontId="9" fillId="10" borderId="3" applyAlignment="1" pivotButton="0" quotePrefix="0" xfId="0">
      <alignment horizontal="center" vertical="center" wrapText="1"/>
    </xf>
    <xf numFmtId="1" fontId="9" fillId="6" borderId="3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right" vertical="center"/>
    </xf>
    <xf numFmtId="165" fontId="10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ont>
        <color rgb="00C00000"/>
      </font>
      <fill>
        <patternFill patternType="solid">
          <fgColor rgb="00FCE4D6"/>
        </patternFill>
      </fill>
    </dxf>
    <dxf>
      <font>
        <color rgb="0070AD47"/>
      </font>
      <fill>
        <patternFill patternType="solid">
          <fgColor rgb="00E2EFDA"/>
        </patternFill>
      </fill>
    </dxf>
    <dxf>
      <font>
        <name val="Arial"/>
        <b val="1"/>
        <color rgb="00C00000"/>
      </font>
      <fill>
        <patternFill patternType="solid">
          <fgColor rgb="00FCE4D6"/>
        </patternFill>
      </fill>
    </dxf>
    <dxf>
      <font>
        <name val="Arial"/>
        <b val="1"/>
        <color rgb="0070AD47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2" customWidth="1" min="15" max="15"/>
    <col width="10.5" customWidth="1" min="16" max="16"/>
    <col width="10.5" customWidth="1" min="17" max="17"/>
    <col width="10.5" customWidth="1" min="18" max="18"/>
    <col width="10.5" customWidth="1" min="19" max="19"/>
  </cols>
  <sheetData>
    <row r="1" ht="24" customHeight="1">
      <c r="B1" s="1" t="inlineStr">
        <is>
          <t>🎯  TABLEAU DE BORD BUDGÉTAIRE  |  ENCG SETTAT  |  2024-2025</t>
        </is>
      </c>
    </row>
    <row r="2" ht="24" customHeight="1"/>
    <row r="3" ht="24" customHeight="1"/>
    <row r="4" ht="24" customHeight="1"/>
    <row r="5" ht="18" customHeight="1">
      <c r="B5" s="2" t="inlineStr">
        <is>
          <t>Budget vs Réalisé  •  5 Départements  •  8 Postes de Charges  •  12 Mois  •  Données synthétiques 480 lignes</t>
        </is>
      </c>
    </row>
    <row r="6" ht="10" customHeight="1"/>
    <row r="7" ht="20" customHeight="1">
      <c r="B7" s="3" t="inlineStr">
        <is>
          <t>💰 BUDGET TOTAL</t>
        </is>
      </c>
      <c r="E7" s="3" t="inlineStr">
        <is>
          <t>📊 RÉALISÉ TOTAL</t>
        </is>
      </c>
      <c r="H7" s="4" t="inlineStr">
        <is>
          <t>⚖️ ÉCART GLOBAL</t>
        </is>
      </c>
      <c r="K7" s="5" t="inlineStr">
        <is>
          <t>📈 TAUX CONSOMMATION</t>
        </is>
      </c>
    </row>
    <row r="8" ht="20" customHeight="1">
      <c r="B8" s="6">
        <f>'📋 Analyse Départements'!C10</f>
        <v/>
      </c>
      <c r="E8" s="6">
        <f>'📋 Analyse Départements'!D10</f>
        <v/>
      </c>
      <c r="H8" s="7">
        <f>'📋 Analyse Départements'!E10</f>
        <v/>
      </c>
      <c r="K8" s="8">
        <f>'📋 Analyse Départements'!F10</f>
        <v/>
      </c>
    </row>
    <row r="9" ht="20" customHeight="1">
      <c r="B9" s="9" t="n"/>
      <c r="E9" s="9" t="n"/>
      <c r="H9" s="10" t="n"/>
      <c r="K9" s="11" t="n"/>
    </row>
    <row r="10" ht="20" customHeight="1">
      <c r="B10" s="12" t="n"/>
      <c r="E10" s="12" t="n"/>
      <c r="H10" s="13" t="n"/>
      <c r="K10" s="14" t="n"/>
    </row>
    <row r="12" ht="8" customHeight="1"/>
    <row r="13" ht="20" customHeight="1">
      <c r="B13" s="4" t="inlineStr">
        <is>
          <t>⚠️ NB DÉPASSEMENTS</t>
        </is>
      </c>
      <c r="E13" s="5" t="inlineStr">
        <is>
          <t>✅ NB ÉCONOMIES</t>
        </is>
      </c>
      <c r="H13" s="3" t="inlineStr">
        <is>
          <t>🏢 DÉPARTEMENTS</t>
        </is>
      </c>
      <c r="K13" s="3" t="inlineStr">
        <is>
          <t>📅 MOIS ANALYSÉS</t>
        </is>
      </c>
    </row>
    <row r="14" ht="20" customHeight="1">
      <c r="B14" s="15">
        <f>'📋 Analyse Départements'!H10</f>
        <v/>
      </c>
      <c r="E14" s="16">
        <f>'📋 Analyse Départements'!I10</f>
        <v/>
      </c>
      <c r="H14" s="17">
        <f>COUNTA('📋 Analyse Départements'!A5:A9)</f>
        <v/>
      </c>
      <c r="K14" s="17">
        <f>COUNTA('📋 Analyse Départements'!A15:A26)</f>
        <v/>
      </c>
    </row>
    <row r="15" ht="20" customHeight="1">
      <c r="B15" s="10" t="n"/>
      <c r="E15" s="11" t="n"/>
      <c r="H15" s="9" t="n"/>
      <c r="K15" s="9" t="n"/>
    </row>
    <row r="16" ht="20" customHeight="1">
      <c r="B16" s="13" t="n"/>
      <c r="E16" s="14" t="n"/>
      <c r="H16" s="12" t="n"/>
      <c r="K16" s="12" t="n"/>
    </row>
    <row r="18" ht="10" customHeight="1"/>
    <row r="19" ht="26" customHeight="1">
      <c r="B19" s="18" t="inlineStr">
        <is>
          <t xml:space="preserve">  📊 BUDGET vs RÉALISÉ PAR DÉPARTEMENT (annuel)</t>
        </is>
      </c>
    </row>
    <row r="20" ht="30" customHeight="1">
      <c r="B20" s="19" t="inlineStr">
        <is>
          <t>Département</t>
        </is>
      </c>
      <c r="C20" s="19" t="inlineStr">
        <is>
          <t>Budget (MAD)</t>
        </is>
      </c>
      <c r="D20" s="19" t="inlineStr">
        <is>
          <t>Réalisé (MAD)</t>
        </is>
      </c>
      <c r="E20" s="19" t="inlineStr">
        <is>
          <t>Écart (MAD)</t>
        </is>
      </c>
      <c r="F20" s="19" t="inlineStr">
        <is>
          <t>Écart %</t>
        </is>
      </c>
      <c r="G20" s="19" t="inlineStr">
        <is>
          <t>Taux Conso</t>
        </is>
      </c>
      <c r="H20" s="19" t="inlineStr">
        <is>
          <t>Statut</t>
        </is>
      </c>
    </row>
    <row r="21">
      <c r="B21" s="20" t="inlineStr">
        <is>
          <t>RH</t>
        </is>
      </c>
      <c r="C21" s="21">
        <f>'📋 Analyse Départements'!B5</f>
        <v/>
      </c>
      <c r="D21" s="21">
        <f>'📋 Analyse Départements'!C5</f>
        <v/>
      </c>
      <c r="E21" s="21">
        <f>'📋 Analyse Départements'!D5</f>
        <v/>
      </c>
      <c r="F21" s="22">
        <f>'📋 Analyse Départements'!E5</f>
        <v/>
      </c>
      <c r="G21" s="22">
        <f>'📋 Analyse Départements'!F5</f>
        <v/>
      </c>
      <c r="H21" s="23">
        <f>'📋 Analyse Départements'!I5</f>
        <v/>
      </c>
    </row>
    <row r="22">
      <c r="B22" s="24" t="inlineStr">
        <is>
          <t>Marketing</t>
        </is>
      </c>
      <c r="C22" s="25">
        <f>'📋 Analyse Départements'!B6</f>
        <v/>
      </c>
      <c r="D22" s="25">
        <f>'📋 Analyse Départements'!C6</f>
        <v/>
      </c>
      <c r="E22" s="25">
        <f>'📋 Analyse Départements'!D6</f>
        <v/>
      </c>
      <c r="F22" s="26">
        <f>'📋 Analyse Départements'!E6</f>
        <v/>
      </c>
      <c r="G22" s="26">
        <f>'📋 Analyse Départements'!F6</f>
        <v/>
      </c>
      <c r="H22" s="27">
        <f>'📋 Analyse Départements'!I6</f>
        <v/>
      </c>
    </row>
    <row r="23">
      <c r="B23" s="20" t="inlineStr">
        <is>
          <t>Production</t>
        </is>
      </c>
      <c r="C23" s="21">
        <f>'📋 Analyse Départements'!B7</f>
        <v/>
      </c>
      <c r="D23" s="21">
        <f>'📋 Analyse Départements'!C7</f>
        <v/>
      </c>
      <c r="E23" s="21">
        <f>'📋 Analyse Départements'!D7</f>
        <v/>
      </c>
      <c r="F23" s="22">
        <f>'📋 Analyse Départements'!E7</f>
        <v/>
      </c>
      <c r="G23" s="22">
        <f>'📋 Analyse Départements'!F7</f>
        <v/>
      </c>
      <c r="H23" s="23">
        <f>'📋 Analyse Départements'!I7</f>
        <v/>
      </c>
    </row>
    <row r="24">
      <c r="B24" s="24" t="inlineStr">
        <is>
          <t>IT</t>
        </is>
      </c>
      <c r="C24" s="25">
        <f>'📋 Analyse Départements'!B8</f>
        <v/>
      </c>
      <c r="D24" s="25">
        <f>'📋 Analyse Départements'!C8</f>
        <v/>
      </c>
      <c r="E24" s="25">
        <f>'📋 Analyse Départements'!D8</f>
        <v/>
      </c>
      <c r="F24" s="26">
        <f>'📋 Analyse Départements'!E8</f>
        <v/>
      </c>
      <c r="G24" s="26">
        <f>'📋 Analyse Départements'!F8</f>
        <v/>
      </c>
      <c r="H24" s="27">
        <f>'📋 Analyse Départements'!I8</f>
        <v/>
      </c>
    </row>
    <row r="25">
      <c r="B25" s="20" t="inlineStr">
        <is>
          <t>Administration</t>
        </is>
      </c>
      <c r="C25" s="21">
        <f>'📋 Analyse Départements'!B9</f>
        <v/>
      </c>
      <c r="D25" s="21">
        <f>'📋 Analyse Départements'!C9</f>
        <v/>
      </c>
      <c r="E25" s="21">
        <f>'📋 Analyse Départements'!D9</f>
        <v/>
      </c>
      <c r="F25" s="22">
        <f>'📋 Analyse Départements'!E9</f>
        <v/>
      </c>
      <c r="G25" s="22">
        <f>'📋 Analyse Départements'!F9</f>
        <v/>
      </c>
      <c r="H25" s="23">
        <f>'📋 Analyse Départements'!I9</f>
        <v/>
      </c>
    </row>
    <row r="26" ht="24" customHeight="1">
      <c r="B26" s="28" t="inlineStr">
        <is>
          <t>TOTAL GÉNÉRAL</t>
        </is>
      </c>
      <c r="C26" s="29">
        <f>'📋 Analyse Départements'!C10</f>
        <v/>
      </c>
      <c r="D26" s="29">
        <f>'📋 Analyse Départements'!D10</f>
        <v/>
      </c>
      <c r="E26" s="29">
        <f>'📋 Analyse Départements'!E10</f>
        <v/>
      </c>
      <c r="F26" s="30">
        <f>'📋 Analyse Départements'!F10</f>
        <v/>
      </c>
      <c r="G26" s="30">
        <f>'📋 Analyse Départements'!G10</f>
        <v/>
      </c>
      <c r="H26" s="31" t="n"/>
    </row>
    <row r="27" ht="10" customHeight="1"/>
    <row r="28" ht="26" customHeight="1">
      <c r="B28" s="18" t="inlineStr">
        <is>
          <t xml:space="preserve">  📅 ÉVOLUTION MENSUELLE — Budget vs Réalisé (tous départements)</t>
        </is>
      </c>
    </row>
    <row r="29" ht="30" customHeight="1">
      <c r="B29" s="19" t="inlineStr">
        <is>
          <t>Mois</t>
        </is>
      </c>
      <c r="C29" s="19" t="inlineStr">
        <is>
          <t>Budget</t>
        </is>
      </c>
      <c r="D29" s="19" t="inlineStr">
        <is>
          <t>Réalisé</t>
        </is>
      </c>
      <c r="E29" s="19" t="inlineStr">
        <is>
          <t>Écart</t>
        </is>
      </c>
      <c r="F29" s="19" t="inlineStr">
        <is>
          <t>Écart %</t>
        </is>
      </c>
      <c r="G29" s="19" t="inlineStr">
        <is>
          <t>Statut</t>
        </is>
      </c>
    </row>
    <row r="30">
      <c r="B30" s="24" t="inlineStr">
        <is>
          <t>Janvier</t>
        </is>
      </c>
      <c r="C30" s="25">
        <f>'📋 Analyse Départements'!C15</f>
        <v/>
      </c>
      <c r="D30" s="25">
        <f>'📋 Analyse Départements'!D15</f>
        <v/>
      </c>
      <c r="E30" s="25">
        <f>'📋 Analyse Départements'!E15</f>
        <v/>
      </c>
      <c r="F30" s="26">
        <f>'📋 Analyse Départements'!F15</f>
        <v/>
      </c>
      <c r="G30" s="27">
        <f>'📋 Analyse Départements'!J15</f>
        <v/>
      </c>
    </row>
    <row r="31">
      <c r="B31" s="20" t="inlineStr">
        <is>
          <t>Février</t>
        </is>
      </c>
      <c r="C31" s="21">
        <f>'📋 Analyse Départements'!C16</f>
        <v/>
      </c>
      <c r="D31" s="21">
        <f>'📋 Analyse Départements'!D16</f>
        <v/>
      </c>
      <c r="E31" s="21">
        <f>'📋 Analyse Départements'!E16</f>
        <v/>
      </c>
      <c r="F31" s="22">
        <f>'📋 Analyse Départements'!F16</f>
        <v/>
      </c>
      <c r="G31" s="23">
        <f>'📋 Analyse Départements'!J16</f>
        <v/>
      </c>
    </row>
    <row r="32">
      <c r="B32" s="24" t="inlineStr">
        <is>
          <t>Mars</t>
        </is>
      </c>
      <c r="C32" s="25">
        <f>'📋 Analyse Départements'!C17</f>
        <v/>
      </c>
      <c r="D32" s="25">
        <f>'📋 Analyse Départements'!D17</f>
        <v/>
      </c>
      <c r="E32" s="25">
        <f>'📋 Analyse Départements'!E17</f>
        <v/>
      </c>
      <c r="F32" s="26">
        <f>'📋 Analyse Départements'!F17</f>
        <v/>
      </c>
      <c r="G32" s="27">
        <f>'📋 Analyse Départements'!J17</f>
        <v/>
      </c>
    </row>
    <row r="33">
      <c r="B33" s="20" t="inlineStr">
        <is>
          <t>Avril</t>
        </is>
      </c>
      <c r="C33" s="21">
        <f>'📋 Analyse Départements'!C18</f>
        <v/>
      </c>
      <c r="D33" s="21">
        <f>'📋 Analyse Départements'!D18</f>
        <v/>
      </c>
      <c r="E33" s="21">
        <f>'📋 Analyse Départements'!E18</f>
        <v/>
      </c>
      <c r="F33" s="22">
        <f>'📋 Analyse Départements'!F18</f>
        <v/>
      </c>
      <c r="G33" s="23">
        <f>'📋 Analyse Départements'!J18</f>
        <v/>
      </c>
    </row>
    <row r="34">
      <c r="B34" s="24" t="inlineStr">
        <is>
          <t>Mai</t>
        </is>
      </c>
      <c r="C34" s="25">
        <f>'📋 Analyse Départements'!C19</f>
        <v/>
      </c>
      <c r="D34" s="25">
        <f>'📋 Analyse Départements'!D19</f>
        <v/>
      </c>
      <c r="E34" s="25">
        <f>'📋 Analyse Départements'!E19</f>
        <v/>
      </c>
      <c r="F34" s="26">
        <f>'📋 Analyse Départements'!F19</f>
        <v/>
      </c>
      <c r="G34" s="27">
        <f>'📋 Analyse Départements'!J19</f>
        <v/>
      </c>
    </row>
    <row r="35">
      <c r="B35" s="20" t="inlineStr">
        <is>
          <t>Juin</t>
        </is>
      </c>
      <c r="C35" s="21">
        <f>'📋 Analyse Départements'!C20</f>
        <v/>
      </c>
      <c r="D35" s="21">
        <f>'📋 Analyse Départements'!D20</f>
        <v/>
      </c>
      <c r="E35" s="21">
        <f>'📋 Analyse Départements'!E20</f>
        <v/>
      </c>
      <c r="F35" s="22">
        <f>'📋 Analyse Départements'!F20</f>
        <v/>
      </c>
      <c r="G35" s="23">
        <f>'📋 Analyse Départements'!J20</f>
        <v/>
      </c>
    </row>
    <row r="36">
      <c r="B36" s="24" t="inlineStr">
        <is>
          <t>Juillet</t>
        </is>
      </c>
      <c r="C36" s="25">
        <f>'📋 Analyse Départements'!C21</f>
        <v/>
      </c>
      <c r="D36" s="25">
        <f>'📋 Analyse Départements'!D21</f>
        <v/>
      </c>
      <c r="E36" s="25">
        <f>'📋 Analyse Départements'!E21</f>
        <v/>
      </c>
      <c r="F36" s="26">
        <f>'📋 Analyse Départements'!F21</f>
        <v/>
      </c>
      <c r="G36" s="27">
        <f>'📋 Analyse Départements'!J21</f>
        <v/>
      </c>
    </row>
    <row r="37">
      <c r="B37" s="20" t="inlineStr">
        <is>
          <t>Août</t>
        </is>
      </c>
      <c r="C37" s="21">
        <f>'📋 Analyse Départements'!C22</f>
        <v/>
      </c>
      <c r="D37" s="21">
        <f>'📋 Analyse Départements'!D22</f>
        <v/>
      </c>
      <c r="E37" s="21">
        <f>'📋 Analyse Départements'!E22</f>
        <v/>
      </c>
      <c r="F37" s="22">
        <f>'📋 Analyse Départements'!F22</f>
        <v/>
      </c>
      <c r="G37" s="23">
        <f>'📋 Analyse Départements'!J22</f>
        <v/>
      </c>
    </row>
    <row r="38">
      <c r="B38" s="24" t="inlineStr">
        <is>
          <t>Septembre</t>
        </is>
      </c>
      <c r="C38" s="25">
        <f>'📋 Analyse Départements'!C23</f>
        <v/>
      </c>
      <c r="D38" s="25">
        <f>'📋 Analyse Départements'!D23</f>
        <v/>
      </c>
      <c r="E38" s="25">
        <f>'📋 Analyse Départements'!E23</f>
        <v/>
      </c>
      <c r="F38" s="26">
        <f>'📋 Analyse Départements'!F23</f>
        <v/>
      </c>
      <c r="G38" s="27">
        <f>'📋 Analyse Départements'!J23</f>
        <v/>
      </c>
    </row>
    <row r="39">
      <c r="B39" s="20" t="inlineStr">
        <is>
          <t>Octobre</t>
        </is>
      </c>
      <c r="C39" s="21">
        <f>'📋 Analyse Départements'!C24</f>
        <v/>
      </c>
      <c r="D39" s="21">
        <f>'📋 Analyse Départements'!D24</f>
        <v/>
      </c>
      <c r="E39" s="21">
        <f>'📋 Analyse Départements'!E24</f>
        <v/>
      </c>
      <c r="F39" s="22">
        <f>'📋 Analyse Départements'!F24</f>
        <v/>
      </c>
      <c r="G39" s="23">
        <f>'📋 Analyse Départements'!J24</f>
        <v/>
      </c>
    </row>
    <row r="40">
      <c r="B40" s="24" t="inlineStr">
        <is>
          <t>Novembre</t>
        </is>
      </c>
      <c r="C40" s="25">
        <f>'📋 Analyse Départements'!C25</f>
        <v/>
      </c>
      <c r="D40" s="25">
        <f>'📋 Analyse Départements'!D25</f>
        <v/>
      </c>
      <c r="E40" s="25">
        <f>'📋 Analyse Départements'!E25</f>
        <v/>
      </c>
      <c r="F40" s="26">
        <f>'📋 Analyse Départements'!F25</f>
        <v/>
      </c>
      <c r="G40" s="27">
        <f>'📋 Analyse Départements'!J25</f>
        <v/>
      </c>
    </row>
    <row r="41">
      <c r="B41" s="20" t="inlineStr">
        <is>
          <t>Décembre</t>
        </is>
      </c>
      <c r="C41" s="21">
        <f>'📋 Analyse Départements'!C26</f>
        <v/>
      </c>
      <c r="D41" s="21">
        <f>'📋 Analyse Départements'!D26</f>
        <v/>
      </c>
      <c r="E41" s="21">
        <f>'📋 Analyse Départements'!E26</f>
        <v/>
      </c>
      <c r="F41" s="22">
        <f>'📋 Analyse Départements'!F26</f>
        <v/>
      </c>
      <c r="G41" s="23">
        <f>'📋 Analyse Départements'!J26</f>
        <v/>
      </c>
    </row>
    <row r="42" ht="24" customHeight="1">
      <c r="B42" s="28" t="inlineStr">
        <is>
          <t>TOTAL ANNUEL</t>
        </is>
      </c>
      <c r="C42" s="29">
        <f>'📋 Analyse Départements'!C27</f>
        <v/>
      </c>
      <c r="D42" s="29">
        <f>'📋 Analyse Départements'!D27</f>
        <v/>
      </c>
      <c r="E42" s="29">
        <f>'📋 Analyse Départements'!E27</f>
        <v/>
      </c>
      <c r="F42" s="30">
        <f>'📋 Analyse Départements'!F27</f>
        <v/>
      </c>
      <c r="G42" s="31" t="n"/>
    </row>
    <row r="43" ht="10" customHeight="1"/>
    <row r="44" ht="26" customHeight="1">
      <c r="B44" s="18" t="inlineStr">
        <is>
          <t xml:space="preserve">  📋 SYNTHÈSE PAR POSTE DE CHARGES — Taux de dépassement</t>
        </is>
      </c>
    </row>
    <row r="45" ht="30" customHeight="1">
      <c r="B45" s="19" t="inlineStr">
        <is>
          <t>Poste de Charges</t>
        </is>
      </c>
      <c r="C45" s="19" t="inlineStr">
        <is>
          <t>Budget</t>
        </is>
      </c>
      <c r="D45" s="19" t="inlineStr">
        <is>
          <t>Réalisé</t>
        </is>
      </c>
      <c r="E45" s="19" t="inlineStr">
        <is>
          <t>Écart %</t>
        </is>
      </c>
      <c r="F45" s="19" t="inlineStr">
        <is>
          <t>Taux Conso</t>
        </is>
      </c>
      <c r="G45" s="19" t="inlineStr">
        <is>
          <t>Statut</t>
        </is>
      </c>
    </row>
    <row r="46">
      <c r="B46" s="32" t="inlineStr">
        <is>
          <t>Salaires</t>
        </is>
      </c>
      <c r="C46" s="25">
        <f>'📈 Analyse Postes &amp; Alertes'!B5</f>
        <v/>
      </c>
      <c r="D46" s="25">
        <f>'📈 Analyse Postes &amp; Alertes'!C5</f>
        <v/>
      </c>
      <c r="E46" s="26">
        <f>'📈 Analyse Postes &amp; Alertes'!E5</f>
        <v/>
      </c>
      <c r="F46" s="26">
        <f>'📈 Analyse Postes &amp; Alertes'!G5</f>
        <v/>
      </c>
      <c r="G46" s="27">
        <f>'📈 Analyse Postes &amp; Alertes'!J5</f>
        <v/>
      </c>
    </row>
    <row r="47">
      <c r="B47" s="33" t="inlineStr">
        <is>
          <t>Charges sociales</t>
        </is>
      </c>
      <c r="C47" s="21">
        <f>'📈 Analyse Postes &amp; Alertes'!B6</f>
        <v/>
      </c>
      <c r="D47" s="21">
        <f>'📈 Analyse Postes &amp; Alertes'!C6</f>
        <v/>
      </c>
      <c r="E47" s="22">
        <f>'📈 Analyse Postes &amp; Alertes'!E6</f>
        <v/>
      </c>
      <c r="F47" s="22">
        <f>'📈 Analyse Postes &amp; Alertes'!G6</f>
        <v/>
      </c>
      <c r="G47" s="23">
        <f>'📈 Analyse Postes &amp; Alertes'!J6</f>
        <v/>
      </c>
    </row>
    <row r="48">
      <c r="B48" s="32" t="inlineStr">
        <is>
          <t>Loyer &amp; Charges</t>
        </is>
      </c>
      <c r="C48" s="25">
        <f>'📈 Analyse Postes &amp; Alertes'!B7</f>
        <v/>
      </c>
      <c r="D48" s="25">
        <f>'📈 Analyse Postes &amp; Alertes'!C7</f>
        <v/>
      </c>
      <c r="E48" s="26">
        <f>'📈 Analyse Postes &amp; Alertes'!E7</f>
        <v/>
      </c>
      <c r="F48" s="26">
        <f>'📈 Analyse Postes &amp; Alertes'!G7</f>
        <v/>
      </c>
      <c r="G48" s="27">
        <f>'📈 Analyse Postes &amp; Alertes'!J7</f>
        <v/>
      </c>
    </row>
    <row r="49">
      <c r="B49" s="33" t="inlineStr">
        <is>
          <t>Matières &amp; Fournitures</t>
        </is>
      </c>
      <c r="C49" s="21">
        <f>'📈 Analyse Postes &amp; Alertes'!B8</f>
        <v/>
      </c>
      <c r="D49" s="21">
        <f>'📈 Analyse Postes &amp; Alertes'!C8</f>
        <v/>
      </c>
      <c r="E49" s="22">
        <f>'📈 Analyse Postes &amp; Alertes'!E8</f>
        <v/>
      </c>
      <c r="F49" s="22">
        <f>'📈 Analyse Postes &amp; Alertes'!G8</f>
        <v/>
      </c>
      <c r="G49" s="23">
        <f>'📈 Analyse Postes &amp; Alertes'!J8</f>
        <v/>
      </c>
    </row>
    <row r="50">
      <c r="B50" s="32" t="inlineStr">
        <is>
          <t>Informatique &amp; Licences</t>
        </is>
      </c>
      <c r="C50" s="25">
        <f>'📈 Analyse Postes &amp; Alertes'!B9</f>
        <v/>
      </c>
      <c r="D50" s="25">
        <f>'📈 Analyse Postes &amp; Alertes'!C9</f>
        <v/>
      </c>
      <c r="E50" s="26">
        <f>'📈 Analyse Postes &amp; Alertes'!E9</f>
        <v/>
      </c>
      <c r="F50" s="26">
        <f>'📈 Analyse Postes &amp; Alertes'!G9</f>
        <v/>
      </c>
      <c r="G50" s="27">
        <f>'📈 Analyse Postes &amp; Alertes'!J9</f>
        <v/>
      </c>
    </row>
    <row r="51">
      <c r="B51" s="33" t="inlineStr">
        <is>
          <t>Déplacements &amp; Missions</t>
        </is>
      </c>
      <c r="C51" s="21">
        <f>'📈 Analyse Postes &amp; Alertes'!B10</f>
        <v/>
      </c>
      <c r="D51" s="21">
        <f>'📈 Analyse Postes &amp; Alertes'!C10</f>
        <v/>
      </c>
      <c r="E51" s="22">
        <f>'📈 Analyse Postes &amp; Alertes'!E10</f>
        <v/>
      </c>
      <c r="F51" s="22">
        <f>'📈 Analyse Postes &amp; Alertes'!G10</f>
        <v/>
      </c>
      <c r="G51" s="23">
        <f>'📈 Analyse Postes &amp; Alertes'!J10</f>
        <v/>
      </c>
    </row>
    <row r="52">
      <c r="B52" s="32" t="inlineStr">
        <is>
          <t>Formation</t>
        </is>
      </c>
      <c r="C52" s="25">
        <f>'📈 Analyse Postes &amp; Alertes'!B11</f>
        <v/>
      </c>
      <c r="D52" s="25">
        <f>'📈 Analyse Postes &amp; Alertes'!C11</f>
        <v/>
      </c>
      <c r="E52" s="26">
        <f>'📈 Analyse Postes &amp; Alertes'!E11</f>
        <v/>
      </c>
      <c r="F52" s="26">
        <f>'📈 Analyse Postes &amp; Alertes'!G11</f>
        <v/>
      </c>
      <c r="G52" s="27">
        <f>'📈 Analyse Postes &amp; Alertes'!J11</f>
        <v/>
      </c>
    </row>
    <row r="53">
      <c r="B53" s="33" t="inlineStr">
        <is>
          <t>Publicité &amp; Communication</t>
        </is>
      </c>
      <c r="C53" s="21">
        <f>'📈 Analyse Postes &amp; Alertes'!B12</f>
        <v/>
      </c>
      <c r="D53" s="21">
        <f>'📈 Analyse Postes &amp; Alertes'!C12</f>
        <v/>
      </c>
      <c r="E53" s="22">
        <f>'📈 Analyse Postes &amp; Alertes'!E12</f>
        <v/>
      </c>
      <c r="F53" s="22">
        <f>'📈 Analyse Postes &amp; Alertes'!G12</f>
        <v/>
      </c>
      <c r="G53" s="23">
        <f>'📈 Analyse Postes &amp; Alertes'!J12</f>
        <v/>
      </c>
    </row>
    <row r="54" ht="24" customHeight="1">
      <c r="B54" s="28" t="inlineStr">
        <is>
          <t>TOTAL</t>
        </is>
      </c>
      <c r="C54" s="29">
        <f>'📈 Analyse Postes &amp; Alertes'!B13</f>
        <v/>
      </c>
      <c r="D54" s="29">
        <f>'📈 Analyse Postes &amp; Alertes'!C13</f>
        <v/>
      </c>
      <c r="E54" s="30">
        <f>'📈 Analyse Postes &amp; Alertes'!E13</f>
        <v/>
      </c>
      <c r="F54" s="31" t="n"/>
      <c r="G54" s="31" t="n"/>
    </row>
    <row r="55" ht="10" customHeight="1"/>
    <row r="56" ht="18" customHeight="1">
      <c r="B56" s="34" t="inlineStr">
        <is>
          <t>📌 Guide : Feuille 1 = Données Brutes (480 lignes) | Feuille 2 = Analyse Départements | Feuille 3 = Analyse Postes &amp; Alertes | Feuille 4 = Dashboard</t>
        </is>
      </c>
    </row>
    <row r="57" ht="18" customHeight="1"/>
  </sheetData>
  <mergeCells count="30">
    <mergeCell ref="E10:G10"/>
    <mergeCell ref="E13:G13"/>
    <mergeCell ref="H14:J15"/>
    <mergeCell ref="B13:D13"/>
    <mergeCell ref="H8:J9"/>
    <mergeCell ref="B44:M44"/>
    <mergeCell ref="H7:J7"/>
    <mergeCell ref="B10:D10"/>
    <mergeCell ref="H16:J16"/>
    <mergeCell ref="B5:N5"/>
    <mergeCell ref="B28:M28"/>
    <mergeCell ref="B19:M19"/>
    <mergeCell ref="E14:G15"/>
    <mergeCell ref="H13:J13"/>
    <mergeCell ref="E8:G9"/>
    <mergeCell ref="E7:G7"/>
    <mergeCell ref="K7:M7"/>
    <mergeCell ref="B8:D9"/>
    <mergeCell ref="E16:G16"/>
    <mergeCell ref="B1:N4"/>
    <mergeCell ref="K10:M10"/>
    <mergeCell ref="B14:D15"/>
    <mergeCell ref="K13:M13"/>
    <mergeCell ref="B7:D7"/>
    <mergeCell ref="K16:M16"/>
    <mergeCell ref="B16:D16"/>
    <mergeCell ref="H10:J10"/>
    <mergeCell ref="K14:M15"/>
    <mergeCell ref="K8:M9"/>
    <mergeCell ref="B56:N57"/>
  </mergeCells>
  <conditionalFormatting sqref="F21:F25">
    <cfRule type="cellIs" priority="1" operator="greaterThan" dxfId="0">
      <formula>0.1</formula>
    </cfRule>
    <cfRule type="cellIs" priority="2" operator="lessThan" dxfId="1">
      <formula>-0.05</formula>
    </cfRule>
  </conditionalFormatting>
  <conditionalFormatting sqref="E46:E53">
    <cfRule type="cellIs" priority="3" operator="greaterThan" dxfId="0">
      <formula>0.1</formula>
    </cfRule>
    <cfRule type="cellIs" priority="4" operator="lessThan" dxfId="1">
      <formula>-0.05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16" customWidth="1" min="5" max="5"/>
    <col width="16" customWidth="1" min="6" max="6"/>
    <col width="16" customWidth="1" min="7" max="7"/>
    <col width="10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 ht="32" customHeight="1">
      <c r="A1" s="35" t="inlineStr">
        <is>
          <t>DONNÉES BUDGÉTAIRES — ENCG SETTAT | 2024-2025 | Budget vs Réalisé par Département &amp; Poste de Charges</t>
        </is>
      </c>
    </row>
    <row r="2" ht="36" customHeight="1">
      <c r="A2" s="36" t="inlineStr">
        <is>
          <t>Mois</t>
        </is>
      </c>
      <c r="B2" s="36" t="inlineStr">
        <is>
          <t>N° Mois</t>
        </is>
      </c>
      <c r="C2" s="36" t="inlineStr">
        <is>
          <t>Département</t>
        </is>
      </c>
      <c r="D2" s="36" t="inlineStr">
        <is>
          <t>Poste de Charges</t>
        </is>
      </c>
      <c r="E2" s="36" t="inlineStr">
        <is>
          <t>Budget (MAD)</t>
        </is>
      </c>
      <c r="F2" s="36" t="inlineStr">
        <is>
          <t>Réalisé (MAD)</t>
        </is>
      </c>
      <c r="G2" s="36" t="inlineStr">
        <is>
          <t>Écart (MAD)</t>
        </is>
      </c>
      <c r="H2" s="36" t="inlineStr">
        <is>
          <t>Écart (%)</t>
        </is>
      </c>
      <c r="I2" s="36" t="inlineStr">
        <is>
          <t>Statut</t>
        </is>
      </c>
      <c r="J2" s="36" t="inlineStr">
        <is>
          <t>Cumulé Budget</t>
        </is>
      </c>
      <c r="K2" s="36" t="inlineStr">
        <is>
          <t>Cumulé Réalisé</t>
        </is>
      </c>
      <c r="L2" s="36" t="inlineStr">
        <is>
          <t>Taux Consommation</t>
        </is>
      </c>
    </row>
    <row r="3">
      <c r="A3" s="37" t="inlineStr">
        <is>
          <t>Janvier</t>
        </is>
      </c>
      <c r="B3" s="37" t="n">
        <v>1</v>
      </c>
      <c r="C3" s="37" t="inlineStr">
        <is>
          <t>RH</t>
        </is>
      </c>
      <c r="D3" s="37" t="inlineStr">
        <is>
          <t>Salaires</t>
        </is>
      </c>
      <c r="E3" s="38" t="n">
        <v>180000</v>
      </c>
      <c r="F3" s="38" t="n">
        <v>193639</v>
      </c>
      <c r="G3" s="39">
        <f>F3-E3</f>
        <v/>
      </c>
      <c r="H3" s="40">
        <f>IF(E3=0,0,(F3-E3)/E3)</f>
        <v/>
      </c>
      <c r="I3" s="41">
        <f>IF(H3&gt;0.1,"⚠️ Dépassement",IF(H3&lt;-0.1,"✅ Économie","🔵 Normal"))</f>
        <v/>
      </c>
      <c r="J3" s="38">
        <f>SUMPRODUCT((B$3:B3=B3)*(C$3:C3=C3)*(D$3:D3=D3)*E$3:E3)</f>
        <v/>
      </c>
      <c r="K3" s="38">
        <f>SUMPRODUCT((B$3:B3=B3)*(C$3:C3=C3)*(D$3:D3=D3)*F$3:F3)</f>
        <v/>
      </c>
      <c r="L3" s="42">
        <f>IF(J3=0,0,K3/J3)</f>
        <v/>
      </c>
    </row>
    <row r="4">
      <c r="A4" s="23" t="inlineStr">
        <is>
          <t>Janvier</t>
        </is>
      </c>
      <c r="B4" s="23" t="n">
        <v>1</v>
      </c>
      <c r="C4" s="23" t="inlineStr">
        <is>
          <t>RH</t>
        </is>
      </c>
      <c r="D4" s="23" t="inlineStr">
        <is>
          <t>Charges sociales</t>
        </is>
      </c>
      <c r="E4" s="21" t="n">
        <v>54000</v>
      </c>
      <c r="F4" s="21" t="n">
        <v>44820</v>
      </c>
      <c r="G4" s="39">
        <f>F4-E4</f>
        <v/>
      </c>
      <c r="H4" s="40">
        <f>IF(E4=0,0,(F4-E4)/E4)</f>
        <v/>
      </c>
      <c r="I4" s="41">
        <f>IF(H4&gt;0.1,"⚠️ Dépassement",IF(H4&lt;-0.1,"✅ Économie","🔵 Normal"))</f>
        <v/>
      </c>
      <c r="J4" s="21">
        <f>SUMPRODUCT((B$3:B4=B4)*(C$3:C4=C4)*(D$3:D4=D4)*E$3:E4)</f>
        <v/>
      </c>
      <c r="K4" s="21">
        <f>SUMPRODUCT((B$3:B4=B4)*(C$3:C4=C4)*(D$3:D4=D4)*F$3:F4)</f>
        <v/>
      </c>
      <c r="L4" s="22">
        <f>IF(J4=0,0,K4/J4)</f>
        <v/>
      </c>
    </row>
    <row r="5">
      <c r="A5" s="37" t="inlineStr">
        <is>
          <t>Janvier</t>
        </is>
      </c>
      <c r="B5" s="37" t="n">
        <v>1</v>
      </c>
      <c r="C5" s="37" t="inlineStr">
        <is>
          <t>RH</t>
        </is>
      </c>
      <c r="D5" s="37" t="inlineStr">
        <is>
          <t>Loyer &amp; Charges</t>
        </is>
      </c>
      <c r="E5" s="38" t="n">
        <v>15000</v>
      </c>
      <c r="F5" s="38" t="n">
        <v>13950</v>
      </c>
      <c r="G5" s="39">
        <f>F5-E5</f>
        <v/>
      </c>
      <c r="H5" s="40">
        <f>IF(E5=0,0,(F5-E5)/E5)</f>
        <v/>
      </c>
      <c r="I5" s="41">
        <f>IF(H5&gt;0.1,"⚠️ Dépassement",IF(H5&lt;-0.1,"✅ Économie","🔵 Normal"))</f>
        <v/>
      </c>
      <c r="J5" s="38">
        <f>SUMPRODUCT((B$3:B5=B5)*(C$3:C5=C5)*(D$3:D5=D5)*E$3:E5)</f>
        <v/>
      </c>
      <c r="K5" s="38">
        <f>SUMPRODUCT((B$3:B5=B5)*(C$3:C5=C5)*(D$3:D5=D5)*F$3:F5)</f>
        <v/>
      </c>
      <c r="L5" s="42">
        <f>IF(J5=0,0,K5/J5)</f>
        <v/>
      </c>
    </row>
    <row r="6">
      <c r="A6" s="23" t="inlineStr">
        <is>
          <t>Janvier</t>
        </is>
      </c>
      <c r="B6" s="23" t="n">
        <v>1</v>
      </c>
      <c r="C6" s="23" t="inlineStr">
        <is>
          <t>RH</t>
        </is>
      </c>
      <c r="D6" s="23" t="inlineStr">
        <is>
          <t>Matières &amp; Fournitures</t>
        </is>
      </c>
      <c r="E6" s="21" t="n">
        <v>8000</v>
      </c>
      <c r="F6" s="21" t="n">
        <v>7274</v>
      </c>
      <c r="G6" s="39">
        <f>F6-E6</f>
        <v/>
      </c>
      <c r="H6" s="40">
        <f>IF(E6=0,0,(F6-E6)/E6)</f>
        <v/>
      </c>
      <c r="I6" s="41">
        <f>IF(H6&gt;0.1,"⚠️ Dépassement",IF(H6&lt;-0.1,"✅ Économie","🔵 Normal"))</f>
        <v/>
      </c>
      <c r="J6" s="21">
        <f>SUMPRODUCT((B$3:B6=B6)*(C$3:C6=C6)*(D$3:D6=D6)*E$3:E6)</f>
        <v/>
      </c>
      <c r="K6" s="21">
        <f>SUMPRODUCT((B$3:B6=B6)*(C$3:C6=C6)*(D$3:D6=D6)*F$3:F6)</f>
        <v/>
      </c>
      <c r="L6" s="22">
        <f>IF(J6=0,0,K6/J6)</f>
        <v/>
      </c>
    </row>
    <row r="7">
      <c r="A7" s="37" t="inlineStr">
        <is>
          <t>Janvier</t>
        </is>
      </c>
      <c r="B7" s="37" t="n">
        <v>1</v>
      </c>
      <c r="C7" s="37" t="inlineStr">
        <is>
          <t>RH</t>
        </is>
      </c>
      <c r="D7" s="37" t="inlineStr">
        <is>
          <t>Informatique &amp; Licences</t>
        </is>
      </c>
      <c r="E7" s="38" t="n">
        <v>5000</v>
      </c>
      <c r="F7" s="38" t="n">
        <v>5573</v>
      </c>
      <c r="G7" s="39">
        <f>F7-E7</f>
        <v/>
      </c>
      <c r="H7" s="40">
        <f>IF(E7=0,0,(F7-E7)/E7)</f>
        <v/>
      </c>
      <c r="I7" s="41">
        <f>IF(H7&gt;0.1,"⚠️ Dépassement",IF(H7&lt;-0.1,"✅ Économie","🔵 Normal"))</f>
        <v/>
      </c>
      <c r="J7" s="38">
        <f>SUMPRODUCT((B$3:B7=B7)*(C$3:C7=C7)*(D$3:D7=D7)*E$3:E7)</f>
        <v/>
      </c>
      <c r="K7" s="38">
        <f>SUMPRODUCT((B$3:B7=B7)*(C$3:C7=C7)*(D$3:D7=D7)*F$3:F7)</f>
        <v/>
      </c>
      <c r="L7" s="42">
        <f>IF(J7=0,0,K7/J7)</f>
        <v/>
      </c>
    </row>
    <row r="8">
      <c r="A8" s="23" t="inlineStr">
        <is>
          <t>Janvier</t>
        </is>
      </c>
      <c r="B8" s="23" t="n">
        <v>1</v>
      </c>
      <c r="C8" s="23" t="inlineStr">
        <is>
          <t>RH</t>
        </is>
      </c>
      <c r="D8" s="23" t="inlineStr">
        <is>
          <t>Déplacements &amp; Missions</t>
        </is>
      </c>
      <c r="E8" s="21" t="n">
        <v>7000</v>
      </c>
      <c r="F8" s="21" t="n">
        <v>7635</v>
      </c>
      <c r="G8" s="39">
        <f>F8-E8</f>
        <v/>
      </c>
      <c r="H8" s="40">
        <f>IF(E8=0,0,(F8-E8)/E8)</f>
        <v/>
      </c>
      <c r="I8" s="41">
        <f>IF(H8&gt;0.1,"⚠️ Dépassement",IF(H8&lt;-0.1,"✅ Économie","🔵 Normal"))</f>
        <v/>
      </c>
      <c r="J8" s="21">
        <f>SUMPRODUCT((B$3:B8=B8)*(C$3:C8=C8)*(D$3:D8=D8)*E$3:E8)</f>
        <v/>
      </c>
      <c r="K8" s="21">
        <f>SUMPRODUCT((B$3:B8=B8)*(C$3:C8=C8)*(D$3:D8=D8)*F$3:F8)</f>
        <v/>
      </c>
      <c r="L8" s="22">
        <f>IF(J8=0,0,K8/J8)</f>
        <v/>
      </c>
    </row>
    <row r="9">
      <c r="A9" s="37" t="inlineStr">
        <is>
          <t>Janvier</t>
        </is>
      </c>
      <c r="B9" s="37" t="n">
        <v>1</v>
      </c>
      <c r="C9" s="37" t="inlineStr">
        <is>
          <t>RH</t>
        </is>
      </c>
      <c r="D9" s="37" t="inlineStr">
        <is>
          <t>Formation</t>
        </is>
      </c>
      <c r="E9" s="38" t="n">
        <v>20000</v>
      </c>
      <c r="F9" s="38" t="n">
        <v>23537</v>
      </c>
      <c r="G9" s="39">
        <f>F9-E9</f>
        <v/>
      </c>
      <c r="H9" s="40">
        <f>IF(E9=0,0,(F9-E9)/E9)</f>
        <v/>
      </c>
      <c r="I9" s="41">
        <f>IF(H9&gt;0.1,"⚠️ Dépassement",IF(H9&lt;-0.1,"✅ Économie","🔵 Normal"))</f>
        <v/>
      </c>
      <c r="J9" s="38">
        <f>SUMPRODUCT((B$3:B9=B9)*(C$3:C9=C9)*(D$3:D9=D9)*E$3:E9)</f>
        <v/>
      </c>
      <c r="K9" s="38">
        <f>SUMPRODUCT((B$3:B9=B9)*(C$3:C9=C9)*(D$3:D9=D9)*F$3:F9)</f>
        <v/>
      </c>
      <c r="L9" s="42">
        <f>IF(J9=0,0,K9/J9)</f>
        <v/>
      </c>
    </row>
    <row r="10">
      <c r="A10" s="23" t="inlineStr">
        <is>
          <t>Janvier</t>
        </is>
      </c>
      <c r="B10" s="23" t="n">
        <v>1</v>
      </c>
      <c r="C10" s="23" t="inlineStr">
        <is>
          <t>RH</t>
        </is>
      </c>
      <c r="D10" s="23" t="inlineStr">
        <is>
          <t>Publicité &amp; Communication</t>
        </is>
      </c>
      <c r="E10" s="21" t="n">
        <v>3000</v>
      </c>
      <c r="F10" s="21" t="n">
        <v>3640</v>
      </c>
      <c r="G10" s="39">
        <f>F10-E10</f>
        <v/>
      </c>
      <c r="H10" s="40">
        <f>IF(E10=0,0,(F10-E10)/E10)</f>
        <v/>
      </c>
      <c r="I10" s="41">
        <f>IF(H10&gt;0.1,"⚠️ Dépassement",IF(H10&lt;-0.1,"✅ Économie","🔵 Normal"))</f>
        <v/>
      </c>
      <c r="J10" s="21">
        <f>SUMPRODUCT((B$3:B10=B10)*(C$3:C10=C10)*(D$3:D10=D10)*E$3:E10)</f>
        <v/>
      </c>
      <c r="K10" s="21">
        <f>SUMPRODUCT((B$3:B10=B10)*(C$3:C10=C10)*(D$3:D10=D10)*F$3:F10)</f>
        <v/>
      </c>
      <c r="L10" s="22">
        <f>IF(J10=0,0,K10/J10)</f>
        <v/>
      </c>
    </row>
    <row r="11">
      <c r="A11" s="37" t="inlineStr">
        <is>
          <t>Janvier</t>
        </is>
      </c>
      <c r="B11" s="37" t="n">
        <v>1</v>
      </c>
      <c r="C11" s="37" t="inlineStr">
        <is>
          <t>Marketing</t>
        </is>
      </c>
      <c r="D11" s="37" t="inlineStr">
        <is>
          <t>Salaires</t>
        </is>
      </c>
      <c r="E11" s="38" t="n">
        <v>95000</v>
      </c>
      <c r="F11" s="38" t="n">
        <v>79032</v>
      </c>
      <c r="G11" s="39">
        <f>F11-E11</f>
        <v/>
      </c>
      <c r="H11" s="40">
        <f>IF(E11=0,0,(F11-E11)/E11)</f>
        <v/>
      </c>
      <c r="I11" s="41">
        <f>IF(H11&gt;0.1,"⚠️ Dépassement",IF(H11&lt;-0.1,"✅ Économie","🔵 Normal"))</f>
        <v/>
      </c>
      <c r="J11" s="38">
        <f>SUMPRODUCT((B$3:B11=B11)*(C$3:C11=C11)*(D$3:D11=D11)*E$3:E11)</f>
        <v/>
      </c>
      <c r="K11" s="38">
        <f>SUMPRODUCT((B$3:B11=B11)*(C$3:C11=C11)*(D$3:D11=D11)*F$3:F11)</f>
        <v/>
      </c>
      <c r="L11" s="42">
        <f>IF(J11=0,0,K11/J11)</f>
        <v/>
      </c>
    </row>
    <row r="12">
      <c r="A12" s="23" t="inlineStr">
        <is>
          <t>Janvier</t>
        </is>
      </c>
      <c r="B12" s="23" t="n">
        <v>1</v>
      </c>
      <c r="C12" s="23" t="inlineStr">
        <is>
          <t>Marketing</t>
        </is>
      </c>
      <c r="D12" s="23" t="inlineStr">
        <is>
          <t>Charges sociales</t>
        </is>
      </c>
      <c r="E12" s="21" t="n">
        <v>28500</v>
      </c>
      <c r="F12" s="21" t="n">
        <v>25862</v>
      </c>
      <c r="G12" s="39">
        <f>F12-E12</f>
        <v/>
      </c>
      <c r="H12" s="40">
        <f>IF(E12=0,0,(F12-E12)/E12)</f>
        <v/>
      </c>
      <c r="I12" s="41">
        <f>IF(H12&gt;0.1,"⚠️ Dépassement",IF(H12&lt;-0.1,"✅ Économie","🔵 Normal"))</f>
        <v/>
      </c>
      <c r="J12" s="21">
        <f>SUMPRODUCT((B$3:B12=B12)*(C$3:C12=C12)*(D$3:D12=D12)*E$3:E12)</f>
        <v/>
      </c>
      <c r="K12" s="21">
        <f>SUMPRODUCT((B$3:B12=B12)*(C$3:C12=C12)*(D$3:D12=D12)*F$3:F12)</f>
        <v/>
      </c>
      <c r="L12" s="22">
        <f>IF(J12=0,0,K12/J12)</f>
        <v/>
      </c>
    </row>
    <row r="13">
      <c r="A13" s="37" t="inlineStr">
        <is>
          <t>Janvier</t>
        </is>
      </c>
      <c r="B13" s="37" t="n">
        <v>1</v>
      </c>
      <c r="C13" s="37" t="inlineStr">
        <is>
          <t>Marketing</t>
        </is>
      </c>
      <c r="D13" s="37" t="inlineStr">
        <is>
          <t>Loyer &amp; Charges</t>
        </is>
      </c>
      <c r="E13" s="38" t="n">
        <v>12000</v>
      </c>
      <c r="F13" s="38" t="n">
        <v>12266</v>
      </c>
      <c r="G13" s="39">
        <f>F13-E13</f>
        <v/>
      </c>
      <c r="H13" s="40">
        <f>IF(E13=0,0,(F13-E13)/E13)</f>
        <v/>
      </c>
      <c r="I13" s="41">
        <f>IF(H13&gt;0.1,"⚠️ Dépassement",IF(H13&lt;-0.1,"✅ Économie","🔵 Normal"))</f>
        <v/>
      </c>
      <c r="J13" s="38">
        <f>SUMPRODUCT((B$3:B13=B13)*(C$3:C13=C13)*(D$3:D13=D13)*E$3:E13)</f>
        <v/>
      </c>
      <c r="K13" s="38">
        <f>SUMPRODUCT((B$3:B13=B13)*(C$3:C13=C13)*(D$3:D13=D13)*F$3:F13)</f>
        <v/>
      </c>
      <c r="L13" s="42">
        <f>IF(J13=0,0,K13/J13)</f>
        <v/>
      </c>
    </row>
    <row r="14">
      <c r="A14" s="23" t="inlineStr">
        <is>
          <t>Janvier</t>
        </is>
      </c>
      <c r="B14" s="23" t="n">
        <v>1</v>
      </c>
      <c r="C14" s="23" t="inlineStr">
        <is>
          <t>Marketing</t>
        </is>
      </c>
      <c r="D14" s="23" t="inlineStr">
        <is>
          <t>Matières &amp; Fournitures</t>
        </is>
      </c>
      <c r="E14" s="21" t="n">
        <v>6000</v>
      </c>
      <c r="F14" s="21" t="n">
        <v>4984</v>
      </c>
      <c r="G14" s="39">
        <f>F14-E14</f>
        <v/>
      </c>
      <c r="H14" s="40">
        <f>IF(E14=0,0,(F14-E14)/E14)</f>
        <v/>
      </c>
      <c r="I14" s="41">
        <f>IF(H14&gt;0.1,"⚠️ Dépassement",IF(H14&lt;-0.1,"✅ Économie","🔵 Normal"))</f>
        <v/>
      </c>
      <c r="J14" s="21">
        <f>SUMPRODUCT((B$3:B14=B14)*(C$3:C14=C14)*(D$3:D14=D14)*E$3:E14)</f>
        <v/>
      </c>
      <c r="K14" s="21">
        <f>SUMPRODUCT((B$3:B14=B14)*(C$3:C14=C14)*(D$3:D14=D14)*F$3:F14)</f>
        <v/>
      </c>
      <c r="L14" s="22">
        <f>IF(J14=0,0,K14/J14)</f>
        <v/>
      </c>
    </row>
    <row r="15">
      <c r="A15" s="37" t="inlineStr">
        <is>
          <t>Janvier</t>
        </is>
      </c>
      <c r="B15" s="37" t="n">
        <v>1</v>
      </c>
      <c r="C15" s="37" t="inlineStr">
        <is>
          <t>Marketing</t>
        </is>
      </c>
      <c r="D15" s="37" t="inlineStr">
        <is>
          <t>Informatique &amp; Licences</t>
        </is>
      </c>
      <c r="E15" s="38" t="n">
        <v>8000</v>
      </c>
      <c r="F15" s="38" t="n">
        <v>7196</v>
      </c>
      <c r="G15" s="39">
        <f>F15-E15</f>
        <v/>
      </c>
      <c r="H15" s="40">
        <f>IF(E15=0,0,(F15-E15)/E15)</f>
        <v/>
      </c>
      <c r="I15" s="41">
        <f>IF(H15&gt;0.1,"⚠️ Dépassement",IF(H15&lt;-0.1,"✅ Économie","🔵 Normal"))</f>
        <v/>
      </c>
      <c r="J15" s="38">
        <f>SUMPRODUCT((B$3:B15=B15)*(C$3:C15=C15)*(D$3:D15=D15)*E$3:E15)</f>
        <v/>
      </c>
      <c r="K15" s="38">
        <f>SUMPRODUCT((B$3:B15=B15)*(C$3:C15=C15)*(D$3:D15=D15)*F$3:F15)</f>
        <v/>
      </c>
      <c r="L15" s="42">
        <f>IF(J15=0,0,K15/J15)</f>
        <v/>
      </c>
    </row>
    <row r="16">
      <c r="A16" s="23" t="inlineStr">
        <is>
          <t>Janvier</t>
        </is>
      </c>
      <c r="B16" s="23" t="n">
        <v>1</v>
      </c>
      <c r="C16" s="23" t="inlineStr">
        <is>
          <t>Marketing</t>
        </is>
      </c>
      <c r="D16" s="23" t="inlineStr">
        <is>
          <t>Déplacements &amp; Missions</t>
        </is>
      </c>
      <c r="E16" s="21" t="n">
        <v>15000</v>
      </c>
      <c r="F16" s="21" t="n">
        <v>16199</v>
      </c>
      <c r="G16" s="39">
        <f>F16-E16</f>
        <v/>
      </c>
      <c r="H16" s="40">
        <f>IF(E16=0,0,(F16-E16)/E16)</f>
        <v/>
      </c>
      <c r="I16" s="41">
        <f>IF(H16&gt;0.1,"⚠️ Dépassement",IF(H16&lt;-0.1,"✅ Économie","🔵 Normal"))</f>
        <v/>
      </c>
      <c r="J16" s="21">
        <f>SUMPRODUCT((B$3:B16=B16)*(C$3:C16=C16)*(D$3:D16=D16)*E$3:E16)</f>
        <v/>
      </c>
      <c r="K16" s="21">
        <f>SUMPRODUCT((B$3:B16=B16)*(C$3:C16=C16)*(D$3:D16=D16)*F$3:F16)</f>
        <v/>
      </c>
      <c r="L16" s="22">
        <f>IF(J16=0,0,K16/J16)</f>
        <v/>
      </c>
    </row>
    <row r="17">
      <c r="A17" s="37" t="inlineStr">
        <is>
          <t>Janvier</t>
        </is>
      </c>
      <c r="B17" s="37" t="n">
        <v>1</v>
      </c>
      <c r="C17" s="37" t="inlineStr">
        <is>
          <t>Marketing</t>
        </is>
      </c>
      <c r="D17" s="37" t="inlineStr">
        <is>
          <t>Formation</t>
        </is>
      </c>
      <c r="E17" s="38" t="n">
        <v>8000</v>
      </c>
      <c r="F17" s="38" t="n">
        <v>8304</v>
      </c>
      <c r="G17" s="39">
        <f>F17-E17</f>
        <v/>
      </c>
      <c r="H17" s="40">
        <f>IF(E17=0,0,(F17-E17)/E17)</f>
        <v/>
      </c>
      <c r="I17" s="41">
        <f>IF(H17&gt;0.1,"⚠️ Dépassement",IF(H17&lt;-0.1,"✅ Économie","🔵 Normal"))</f>
        <v/>
      </c>
      <c r="J17" s="38">
        <f>SUMPRODUCT((B$3:B17=B17)*(C$3:C17=C17)*(D$3:D17=D17)*E$3:E17)</f>
        <v/>
      </c>
      <c r="K17" s="38">
        <f>SUMPRODUCT((B$3:B17=B17)*(C$3:C17=C17)*(D$3:D17=D17)*F$3:F17)</f>
        <v/>
      </c>
      <c r="L17" s="42">
        <f>IF(J17=0,0,K17/J17)</f>
        <v/>
      </c>
    </row>
    <row r="18">
      <c r="A18" s="23" t="inlineStr">
        <is>
          <t>Janvier</t>
        </is>
      </c>
      <c r="B18" s="23" t="n">
        <v>1</v>
      </c>
      <c r="C18" s="23" t="inlineStr">
        <is>
          <t>Marketing</t>
        </is>
      </c>
      <c r="D18" s="23" t="inlineStr">
        <is>
          <t>Publicité &amp; Communication</t>
        </is>
      </c>
      <c r="E18" s="21" t="n">
        <v>45000</v>
      </c>
      <c r="F18" s="21" t="n">
        <v>55728</v>
      </c>
      <c r="G18" s="39">
        <f>F18-E18</f>
        <v/>
      </c>
      <c r="H18" s="40">
        <f>IF(E18=0,0,(F18-E18)/E18)</f>
        <v/>
      </c>
      <c r="I18" s="41">
        <f>IF(H18&gt;0.1,"⚠️ Dépassement",IF(H18&lt;-0.1,"✅ Économie","🔵 Normal"))</f>
        <v/>
      </c>
      <c r="J18" s="21">
        <f>SUMPRODUCT((B$3:B18=B18)*(C$3:C18=C18)*(D$3:D18=D18)*E$3:E18)</f>
        <v/>
      </c>
      <c r="K18" s="21">
        <f>SUMPRODUCT((B$3:B18=B18)*(C$3:C18=C18)*(D$3:D18=D18)*F$3:F18)</f>
        <v/>
      </c>
      <c r="L18" s="22">
        <f>IF(J18=0,0,K18/J18)</f>
        <v/>
      </c>
    </row>
    <row r="19">
      <c r="A19" s="37" t="inlineStr">
        <is>
          <t>Janvier</t>
        </is>
      </c>
      <c r="B19" s="37" t="n">
        <v>1</v>
      </c>
      <c r="C19" s="37" t="inlineStr">
        <is>
          <t>Production</t>
        </is>
      </c>
      <c r="D19" s="37" t="inlineStr">
        <is>
          <t>Salaires</t>
        </is>
      </c>
      <c r="E19" s="38" t="n">
        <v>220000</v>
      </c>
      <c r="F19" s="38" t="n">
        <v>251630</v>
      </c>
      <c r="G19" s="39">
        <f>F19-E19</f>
        <v/>
      </c>
      <c r="H19" s="40">
        <f>IF(E19=0,0,(F19-E19)/E19)</f>
        <v/>
      </c>
      <c r="I19" s="41">
        <f>IF(H19&gt;0.1,"⚠️ Dépassement",IF(H19&lt;-0.1,"✅ Économie","🔵 Normal"))</f>
        <v/>
      </c>
      <c r="J19" s="38">
        <f>SUMPRODUCT((B$3:B19=B19)*(C$3:C19=C19)*(D$3:D19=D19)*E$3:E19)</f>
        <v/>
      </c>
      <c r="K19" s="38">
        <f>SUMPRODUCT((B$3:B19=B19)*(C$3:C19=C19)*(D$3:D19=D19)*F$3:F19)</f>
        <v/>
      </c>
      <c r="L19" s="42">
        <f>IF(J19=0,0,K19/J19)</f>
        <v/>
      </c>
    </row>
    <row r="20">
      <c r="A20" s="23" t="inlineStr">
        <is>
          <t>Janvier</t>
        </is>
      </c>
      <c r="B20" s="23" t="n">
        <v>1</v>
      </c>
      <c r="C20" s="23" t="inlineStr">
        <is>
          <t>Production</t>
        </is>
      </c>
      <c r="D20" s="23" t="inlineStr">
        <is>
          <t>Charges sociales</t>
        </is>
      </c>
      <c r="E20" s="21" t="n">
        <v>66000</v>
      </c>
      <c r="F20" s="21" t="n">
        <v>54292</v>
      </c>
      <c r="G20" s="39">
        <f>F20-E20</f>
        <v/>
      </c>
      <c r="H20" s="40">
        <f>IF(E20=0,0,(F20-E20)/E20)</f>
        <v/>
      </c>
      <c r="I20" s="41">
        <f>IF(H20&gt;0.1,"⚠️ Dépassement",IF(H20&lt;-0.1,"✅ Économie","🔵 Normal"))</f>
        <v/>
      </c>
      <c r="J20" s="21">
        <f>SUMPRODUCT((B$3:B20=B20)*(C$3:C20=C20)*(D$3:D20=D20)*E$3:E20)</f>
        <v/>
      </c>
      <c r="K20" s="21">
        <f>SUMPRODUCT((B$3:B20=B20)*(C$3:C20=C20)*(D$3:D20=D20)*F$3:F20)</f>
        <v/>
      </c>
      <c r="L20" s="22">
        <f>IF(J20=0,0,K20/J20)</f>
        <v/>
      </c>
    </row>
    <row r="21">
      <c r="A21" s="37" t="inlineStr">
        <is>
          <t>Janvier</t>
        </is>
      </c>
      <c r="B21" s="37" t="n">
        <v>1</v>
      </c>
      <c r="C21" s="37" t="inlineStr">
        <is>
          <t>Production</t>
        </is>
      </c>
      <c r="D21" s="37" t="inlineStr">
        <is>
          <t>Loyer &amp; Charges</t>
        </is>
      </c>
      <c r="E21" s="38" t="n">
        <v>35000</v>
      </c>
      <c r="F21" s="38" t="n">
        <v>39981</v>
      </c>
      <c r="G21" s="39">
        <f>F21-E21</f>
        <v/>
      </c>
      <c r="H21" s="40">
        <f>IF(E21=0,0,(F21-E21)/E21)</f>
        <v/>
      </c>
      <c r="I21" s="41">
        <f>IF(H21&gt;0.1,"⚠️ Dépassement",IF(H21&lt;-0.1,"✅ Économie","🔵 Normal"))</f>
        <v/>
      </c>
      <c r="J21" s="38">
        <f>SUMPRODUCT((B$3:B21=B21)*(C$3:C21=C21)*(D$3:D21=D21)*E$3:E21)</f>
        <v/>
      </c>
      <c r="K21" s="38">
        <f>SUMPRODUCT((B$3:B21=B21)*(C$3:C21=C21)*(D$3:D21=D21)*F$3:F21)</f>
        <v/>
      </c>
      <c r="L21" s="42">
        <f>IF(J21=0,0,K21/J21)</f>
        <v/>
      </c>
    </row>
    <row r="22">
      <c r="A22" s="23" t="inlineStr">
        <is>
          <t>Janvier</t>
        </is>
      </c>
      <c r="B22" s="23" t="n">
        <v>1</v>
      </c>
      <c r="C22" s="23" t="inlineStr">
        <is>
          <t>Production</t>
        </is>
      </c>
      <c r="D22" s="23" t="inlineStr">
        <is>
          <t>Matières &amp; Fournitures</t>
        </is>
      </c>
      <c r="E22" s="21" t="n">
        <v>85000</v>
      </c>
      <c r="F22" s="21" t="n">
        <v>93437</v>
      </c>
      <c r="G22" s="39">
        <f>F22-E22</f>
        <v/>
      </c>
      <c r="H22" s="40">
        <f>IF(E22=0,0,(F22-E22)/E22)</f>
        <v/>
      </c>
      <c r="I22" s="41">
        <f>IF(H22&gt;0.1,"⚠️ Dépassement",IF(H22&lt;-0.1,"✅ Économie","🔵 Normal"))</f>
        <v/>
      </c>
      <c r="J22" s="21">
        <f>SUMPRODUCT((B$3:B22=B22)*(C$3:C22=C22)*(D$3:D22=D22)*E$3:E22)</f>
        <v/>
      </c>
      <c r="K22" s="21">
        <f>SUMPRODUCT((B$3:B22=B22)*(C$3:C22=C22)*(D$3:D22=D22)*F$3:F22)</f>
        <v/>
      </c>
      <c r="L22" s="22">
        <f>IF(J22=0,0,K22/J22)</f>
        <v/>
      </c>
    </row>
    <row r="23">
      <c r="A23" s="37" t="inlineStr">
        <is>
          <t>Janvier</t>
        </is>
      </c>
      <c r="B23" s="37" t="n">
        <v>1</v>
      </c>
      <c r="C23" s="37" t="inlineStr">
        <is>
          <t>Production</t>
        </is>
      </c>
      <c r="D23" s="37" t="inlineStr">
        <is>
          <t>Informatique &amp; Licences</t>
        </is>
      </c>
      <c r="E23" s="38" t="n">
        <v>12000</v>
      </c>
      <c r="F23" s="38" t="n">
        <v>11473</v>
      </c>
      <c r="G23" s="39">
        <f>F23-E23</f>
        <v/>
      </c>
      <c r="H23" s="40">
        <f>IF(E23=0,0,(F23-E23)/E23)</f>
        <v/>
      </c>
      <c r="I23" s="41">
        <f>IF(H23&gt;0.1,"⚠️ Dépassement",IF(H23&lt;-0.1,"✅ Économie","🔵 Normal"))</f>
        <v/>
      </c>
      <c r="J23" s="38">
        <f>SUMPRODUCT((B$3:B23=B23)*(C$3:C23=C23)*(D$3:D23=D23)*E$3:E23)</f>
        <v/>
      </c>
      <c r="K23" s="38">
        <f>SUMPRODUCT((B$3:B23=B23)*(C$3:C23=C23)*(D$3:D23=D23)*F$3:F23)</f>
        <v/>
      </c>
      <c r="L23" s="42">
        <f>IF(J23=0,0,K23/J23)</f>
        <v/>
      </c>
    </row>
    <row r="24">
      <c r="A24" s="23" t="inlineStr">
        <is>
          <t>Janvier</t>
        </is>
      </c>
      <c r="B24" s="23" t="n">
        <v>1</v>
      </c>
      <c r="C24" s="23" t="inlineStr">
        <is>
          <t>Production</t>
        </is>
      </c>
      <c r="D24" s="23" t="inlineStr">
        <is>
          <t>Déplacements &amp; Missions</t>
        </is>
      </c>
      <c r="E24" s="21" t="n">
        <v>10000</v>
      </c>
      <c r="F24" s="21" t="n">
        <v>8822</v>
      </c>
      <c r="G24" s="39">
        <f>F24-E24</f>
        <v/>
      </c>
      <c r="H24" s="40">
        <f>IF(E24=0,0,(F24-E24)/E24)</f>
        <v/>
      </c>
      <c r="I24" s="41">
        <f>IF(H24&gt;0.1,"⚠️ Dépassement",IF(H24&lt;-0.1,"✅ Économie","🔵 Normal"))</f>
        <v/>
      </c>
      <c r="J24" s="21">
        <f>SUMPRODUCT((B$3:B24=B24)*(C$3:C24=C24)*(D$3:D24=D24)*E$3:E24)</f>
        <v/>
      </c>
      <c r="K24" s="21">
        <f>SUMPRODUCT((B$3:B24=B24)*(C$3:C24=C24)*(D$3:D24=D24)*F$3:F24)</f>
        <v/>
      </c>
      <c r="L24" s="22">
        <f>IF(J24=0,0,K24/J24)</f>
        <v/>
      </c>
    </row>
    <row r="25">
      <c r="A25" s="37" t="inlineStr">
        <is>
          <t>Janvier</t>
        </is>
      </c>
      <c r="B25" s="37" t="n">
        <v>1</v>
      </c>
      <c r="C25" s="37" t="inlineStr">
        <is>
          <t>Production</t>
        </is>
      </c>
      <c r="D25" s="37" t="inlineStr">
        <is>
          <t>Formation</t>
        </is>
      </c>
      <c r="E25" s="38" t="n">
        <v>15000</v>
      </c>
      <c r="F25" s="38" t="n">
        <v>18043</v>
      </c>
      <c r="G25" s="39">
        <f>F25-E25</f>
        <v/>
      </c>
      <c r="H25" s="40">
        <f>IF(E25=0,0,(F25-E25)/E25)</f>
        <v/>
      </c>
      <c r="I25" s="41">
        <f>IF(H25&gt;0.1,"⚠️ Dépassement",IF(H25&lt;-0.1,"✅ Économie","🔵 Normal"))</f>
        <v/>
      </c>
      <c r="J25" s="38">
        <f>SUMPRODUCT((B$3:B25=B25)*(C$3:C25=C25)*(D$3:D25=D25)*E$3:E25)</f>
        <v/>
      </c>
      <c r="K25" s="38">
        <f>SUMPRODUCT((B$3:B25=B25)*(C$3:C25=C25)*(D$3:D25=D25)*F$3:F25)</f>
        <v/>
      </c>
      <c r="L25" s="42">
        <f>IF(J25=0,0,K25/J25)</f>
        <v/>
      </c>
    </row>
    <row r="26">
      <c r="A26" s="23" t="inlineStr">
        <is>
          <t>Janvier</t>
        </is>
      </c>
      <c r="B26" s="23" t="n">
        <v>1</v>
      </c>
      <c r="C26" s="23" t="inlineStr">
        <is>
          <t>Production</t>
        </is>
      </c>
      <c r="D26" s="23" t="inlineStr">
        <is>
          <t>Publicité &amp; Communication</t>
        </is>
      </c>
      <c r="E26" s="21" t="n">
        <v>5000</v>
      </c>
      <c r="F26" s="21" t="n">
        <v>5820</v>
      </c>
      <c r="G26" s="39">
        <f>F26-E26</f>
        <v/>
      </c>
      <c r="H26" s="40">
        <f>IF(E26=0,0,(F26-E26)/E26)</f>
        <v/>
      </c>
      <c r="I26" s="41">
        <f>IF(H26&gt;0.1,"⚠️ Dépassement",IF(H26&lt;-0.1,"✅ Économie","🔵 Normal"))</f>
        <v/>
      </c>
      <c r="J26" s="21">
        <f>SUMPRODUCT((B$3:B26=B26)*(C$3:C26=C26)*(D$3:D26=D26)*E$3:E26)</f>
        <v/>
      </c>
      <c r="K26" s="21">
        <f>SUMPRODUCT((B$3:B26=B26)*(C$3:C26=C26)*(D$3:D26=D26)*F$3:F26)</f>
        <v/>
      </c>
      <c r="L26" s="22">
        <f>IF(J26=0,0,K26/J26)</f>
        <v/>
      </c>
    </row>
    <row r="27">
      <c r="A27" s="37" t="inlineStr">
        <is>
          <t>Janvier</t>
        </is>
      </c>
      <c r="B27" s="37" t="n">
        <v>1</v>
      </c>
      <c r="C27" s="37" t="inlineStr">
        <is>
          <t>IT</t>
        </is>
      </c>
      <c r="D27" s="37" t="inlineStr">
        <is>
          <t>Salaires</t>
        </is>
      </c>
      <c r="E27" s="38" t="n">
        <v>130000</v>
      </c>
      <c r="F27" s="38" t="n">
        <v>111629</v>
      </c>
      <c r="G27" s="39">
        <f>F27-E27</f>
        <v/>
      </c>
      <c r="H27" s="40">
        <f>IF(E27=0,0,(F27-E27)/E27)</f>
        <v/>
      </c>
      <c r="I27" s="41">
        <f>IF(H27&gt;0.1,"⚠️ Dépassement",IF(H27&lt;-0.1,"✅ Économie","🔵 Normal"))</f>
        <v/>
      </c>
      <c r="J27" s="38">
        <f>SUMPRODUCT((B$3:B27=B27)*(C$3:C27=C27)*(D$3:D27=D27)*E$3:E27)</f>
        <v/>
      </c>
      <c r="K27" s="38">
        <f>SUMPRODUCT((B$3:B27=B27)*(C$3:C27=C27)*(D$3:D27=D27)*F$3:F27)</f>
        <v/>
      </c>
      <c r="L27" s="42">
        <f>IF(J27=0,0,K27/J27)</f>
        <v/>
      </c>
    </row>
    <row r="28">
      <c r="A28" s="23" t="inlineStr">
        <is>
          <t>Janvier</t>
        </is>
      </c>
      <c r="B28" s="23" t="n">
        <v>1</v>
      </c>
      <c r="C28" s="23" t="inlineStr">
        <is>
          <t>IT</t>
        </is>
      </c>
      <c r="D28" s="23" t="inlineStr">
        <is>
          <t>Charges sociales</t>
        </is>
      </c>
      <c r="E28" s="21" t="n">
        <v>39000</v>
      </c>
      <c r="F28" s="21" t="n">
        <v>45201</v>
      </c>
      <c r="G28" s="39">
        <f>F28-E28</f>
        <v/>
      </c>
      <c r="H28" s="40">
        <f>IF(E28=0,0,(F28-E28)/E28)</f>
        <v/>
      </c>
      <c r="I28" s="41">
        <f>IF(H28&gt;0.1,"⚠️ Dépassement",IF(H28&lt;-0.1,"✅ Économie","🔵 Normal"))</f>
        <v/>
      </c>
      <c r="J28" s="21">
        <f>SUMPRODUCT((B$3:B28=B28)*(C$3:C28=C28)*(D$3:D28=D28)*E$3:E28)</f>
        <v/>
      </c>
      <c r="K28" s="21">
        <f>SUMPRODUCT((B$3:B28=B28)*(C$3:C28=C28)*(D$3:D28=D28)*F$3:F28)</f>
        <v/>
      </c>
      <c r="L28" s="22">
        <f>IF(J28=0,0,K28/J28)</f>
        <v/>
      </c>
    </row>
    <row r="29">
      <c r="A29" s="37" t="inlineStr">
        <is>
          <t>Janvier</t>
        </is>
      </c>
      <c r="B29" s="37" t="n">
        <v>1</v>
      </c>
      <c r="C29" s="37" t="inlineStr">
        <is>
          <t>IT</t>
        </is>
      </c>
      <c r="D29" s="37" t="inlineStr">
        <is>
          <t>Loyer &amp; Charges</t>
        </is>
      </c>
      <c r="E29" s="38" t="n">
        <v>10000</v>
      </c>
      <c r="F29" s="38" t="n">
        <v>10615</v>
      </c>
      <c r="G29" s="39">
        <f>F29-E29</f>
        <v/>
      </c>
      <c r="H29" s="40">
        <f>IF(E29=0,0,(F29-E29)/E29)</f>
        <v/>
      </c>
      <c r="I29" s="41">
        <f>IF(H29&gt;0.1,"⚠️ Dépassement",IF(H29&lt;-0.1,"✅ Économie","🔵 Normal"))</f>
        <v/>
      </c>
      <c r="J29" s="38">
        <f>SUMPRODUCT((B$3:B29=B29)*(C$3:C29=C29)*(D$3:D29=D29)*E$3:E29)</f>
        <v/>
      </c>
      <c r="K29" s="38">
        <f>SUMPRODUCT((B$3:B29=B29)*(C$3:C29=C29)*(D$3:D29=D29)*F$3:F29)</f>
        <v/>
      </c>
      <c r="L29" s="42">
        <f>IF(J29=0,0,K29/J29)</f>
        <v/>
      </c>
    </row>
    <row r="30">
      <c r="A30" s="23" t="inlineStr">
        <is>
          <t>Janvier</t>
        </is>
      </c>
      <c r="B30" s="23" t="n">
        <v>1</v>
      </c>
      <c r="C30" s="23" t="inlineStr">
        <is>
          <t>IT</t>
        </is>
      </c>
      <c r="D30" s="23" t="inlineStr">
        <is>
          <t>Matières &amp; Fournitures</t>
        </is>
      </c>
      <c r="E30" s="21" t="n">
        <v>20000</v>
      </c>
      <c r="F30" s="21" t="n">
        <v>22857</v>
      </c>
      <c r="G30" s="39">
        <f>F30-E30</f>
        <v/>
      </c>
      <c r="H30" s="40">
        <f>IF(E30=0,0,(F30-E30)/E30)</f>
        <v/>
      </c>
      <c r="I30" s="41">
        <f>IF(H30&gt;0.1,"⚠️ Dépassement",IF(H30&lt;-0.1,"✅ Économie","🔵 Normal"))</f>
        <v/>
      </c>
      <c r="J30" s="21">
        <f>SUMPRODUCT((B$3:B30=B30)*(C$3:C30=C30)*(D$3:D30=D30)*E$3:E30)</f>
        <v/>
      </c>
      <c r="K30" s="21">
        <f>SUMPRODUCT((B$3:B30=B30)*(C$3:C30=C30)*(D$3:D30=D30)*F$3:F30)</f>
        <v/>
      </c>
      <c r="L30" s="22">
        <f>IF(J30=0,0,K30/J30)</f>
        <v/>
      </c>
    </row>
    <row r="31">
      <c r="A31" s="37" t="inlineStr">
        <is>
          <t>Janvier</t>
        </is>
      </c>
      <c r="B31" s="37" t="n">
        <v>1</v>
      </c>
      <c r="C31" s="37" t="inlineStr">
        <is>
          <t>IT</t>
        </is>
      </c>
      <c r="D31" s="37" t="inlineStr">
        <is>
          <t>Informatique &amp; Licences</t>
        </is>
      </c>
      <c r="E31" s="38" t="n">
        <v>50000</v>
      </c>
      <c r="F31" s="38" t="n">
        <v>55595</v>
      </c>
      <c r="G31" s="39">
        <f>F31-E31</f>
        <v/>
      </c>
      <c r="H31" s="40">
        <f>IF(E31=0,0,(F31-E31)/E31)</f>
        <v/>
      </c>
      <c r="I31" s="41">
        <f>IF(H31&gt;0.1,"⚠️ Dépassement",IF(H31&lt;-0.1,"✅ Économie","🔵 Normal"))</f>
        <v/>
      </c>
      <c r="J31" s="38">
        <f>SUMPRODUCT((B$3:B31=B31)*(C$3:C31=C31)*(D$3:D31=D31)*E$3:E31)</f>
        <v/>
      </c>
      <c r="K31" s="38">
        <f>SUMPRODUCT((B$3:B31=B31)*(C$3:C31=C31)*(D$3:D31=D31)*F$3:F31)</f>
        <v/>
      </c>
      <c r="L31" s="42">
        <f>IF(J31=0,0,K31/J31)</f>
        <v/>
      </c>
    </row>
    <row r="32">
      <c r="A32" s="23" t="inlineStr">
        <is>
          <t>Janvier</t>
        </is>
      </c>
      <c r="B32" s="23" t="n">
        <v>1</v>
      </c>
      <c r="C32" s="23" t="inlineStr">
        <is>
          <t>IT</t>
        </is>
      </c>
      <c r="D32" s="23" t="inlineStr">
        <is>
          <t>Déplacements &amp; Missions</t>
        </is>
      </c>
      <c r="E32" s="21" t="n">
        <v>8000</v>
      </c>
      <c r="F32" s="21" t="n">
        <v>8276</v>
      </c>
      <c r="G32" s="39">
        <f>F32-E32</f>
        <v/>
      </c>
      <c r="H32" s="40">
        <f>IF(E32=0,0,(F32-E32)/E32)</f>
        <v/>
      </c>
      <c r="I32" s="41">
        <f>IF(H32&gt;0.1,"⚠️ Dépassement",IF(H32&lt;-0.1,"✅ Économie","🔵 Normal"))</f>
        <v/>
      </c>
      <c r="J32" s="21">
        <f>SUMPRODUCT((B$3:B32=B32)*(C$3:C32=C32)*(D$3:D32=D32)*E$3:E32)</f>
        <v/>
      </c>
      <c r="K32" s="21">
        <f>SUMPRODUCT((B$3:B32=B32)*(C$3:C32=C32)*(D$3:D32=D32)*F$3:F32)</f>
        <v/>
      </c>
      <c r="L32" s="22">
        <f>IF(J32=0,0,K32/J32)</f>
        <v/>
      </c>
    </row>
    <row r="33">
      <c r="A33" s="37" t="inlineStr">
        <is>
          <t>Janvier</t>
        </is>
      </c>
      <c r="B33" s="37" t="n">
        <v>1</v>
      </c>
      <c r="C33" s="37" t="inlineStr">
        <is>
          <t>IT</t>
        </is>
      </c>
      <c r="D33" s="37" t="inlineStr">
        <is>
          <t>Formation</t>
        </is>
      </c>
      <c r="E33" s="38" t="n">
        <v>18000</v>
      </c>
      <c r="F33" s="38" t="n">
        <v>21766</v>
      </c>
      <c r="G33" s="39">
        <f>F33-E33</f>
        <v/>
      </c>
      <c r="H33" s="40">
        <f>IF(E33=0,0,(F33-E33)/E33)</f>
        <v/>
      </c>
      <c r="I33" s="41">
        <f>IF(H33&gt;0.1,"⚠️ Dépassement",IF(H33&lt;-0.1,"✅ Économie","🔵 Normal"))</f>
        <v/>
      </c>
      <c r="J33" s="38">
        <f>SUMPRODUCT((B$3:B33=B33)*(C$3:C33=C33)*(D$3:D33=D33)*E$3:E33)</f>
        <v/>
      </c>
      <c r="K33" s="38">
        <f>SUMPRODUCT((B$3:B33=B33)*(C$3:C33=C33)*(D$3:D33=D33)*F$3:F33)</f>
        <v/>
      </c>
      <c r="L33" s="42">
        <f>IF(J33=0,0,K33/J33)</f>
        <v/>
      </c>
    </row>
    <row r="34">
      <c r="A34" s="23" t="inlineStr">
        <is>
          <t>Janvier</t>
        </is>
      </c>
      <c r="B34" s="23" t="n">
        <v>1</v>
      </c>
      <c r="C34" s="23" t="inlineStr">
        <is>
          <t>IT</t>
        </is>
      </c>
      <c r="D34" s="23" t="inlineStr">
        <is>
          <t>Publicité &amp; Communication</t>
        </is>
      </c>
      <c r="E34" s="21" t="n">
        <v>4000</v>
      </c>
      <c r="F34" s="21" t="n">
        <v>4931</v>
      </c>
      <c r="G34" s="39">
        <f>F34-E34</f>
        <v/>
      </c>
      <c r="H34" s="40">
        <f>IF(E34=0,0,(F34-E34)/E34)</f>
        <v/>
      </c>
      <c r="I34" s="41">
        <f>IF(H34&gt;0.1,"⚠️ Dépassement",IF(H34&lt;-0.1,"✅ Économie","🔵 Normal"))</f>
        <v/>
      </c>
      <c r="J34" s="21">
        <f>SUMPRODUCT((B$3:B34=B34)*(C$3:C34=C34)*(D$3:D34=D34)*E$3:E34)</f>
        <v/>
      </c>
      <c r="K34" s="21">
        <f>SUMPRODUCT((B$3:B34=B34)*(C$3:C34=C34)*(D$3:D34=D34)*F$3:F34)</f>
        <v/>
      </c>
      <c r="L34" s="22">
        <f>IF(J34=0,0,K34/J34)</f>
        <v/>
      </c>
    </row>
    <row r="35">
      <c r="A35" s="37" t="inlineStr">
        <is>
          <t>Janvier</t>
        </is>
      </c>
      <c r="B35" s="37" t="n">
        <v>1</v>
      </c>
      <c r="C35" s="37" t="inlineStr">
        <is>
          <t>Administration</t>
        </is>
      </c>
      <c r="D35" s="37" t="inlineStr">
        <is>
          <t>Salaires</t>
        </is>
      </c>
      <c r="E35" s="38" t="n">
        <v>75000</v>
      </c>
      <c r="F35" s="38" t="n">
        <v>86382</v>
      </c>
      <c r="G35" s="39">
        <f>F35-E35</f>
        <v/>
      </c>
      <c r="H35" s="40">
        <f>IF(E35=0,0,(F35-E35)/E35)</f>
        <v/>
      </c>
      <c r="I35" s="41">
        <f>IF(H35&gt;0.1,"⚠️ Dépassement",IF(H35&lt;-0.1,"✅ Économie","🔵 Normal"))</f>
        <v/>
      </c>
      <c r="J35" s="38">
        <f>SUMPRODUCT((B$3:B35=B35)*(C$3:C35=C35)*(D$3:D35=D35)*E$3:E35)</f>
        <v/>
      </c>
      <c r="K35" s="38">
        <f>SUMPRODUCT((B$3:B35=B35)*(C$3:C35=C35)*(D$3:D35=D35)*F$3:F35)</f>
        <v/>
      </c>
      <c r="L35" s="42">
        <f>IF(J35=0,0,K35/J35)</f>
        <v/>
      </c>
    </row>
    <row r="36">
      <c r="A36" s="23" t="inlineStr">
        <is>
          <t>Janvier</t>
        </is>
      </c>
      <c r="B36" s="23" t="n">
        <v>1</v>
      </c>
      <c r="C36" s="23" t="inlineStr">
        <is>
          <t>Administration</t>
        </is>
      </c>
      <c r="D36" s="23" t="inlineStr">
        <is>
          <t>Charges sociales</t>
        </is>
      </c>
      <c r="E36" s="21" t="n">
        <v>22500</v>
      </c>
      <c r="F36" s="21" t="n">
        <v>24017</v>
      </c>
      <c r="G36" s="39">
        <f>F36-E36</f>
        <v/>
      </c>
      <c r="H36" s="40">
        <f>IF(E36=0,0,(F36-E36)/E36)</f>
        <v/>
      </c>
      <c r="I36" s="41">
        <f>IF(H36&gt;0.1,"⚠️ Dépassement",IF(H36&lt;-0.1,"✅ Économie","🔵 Normal"))</f>
        <v/>
      </c>
      <c r="J36" s="21">
        <f>SUMPRODUCT((B$3:B36=B36)*(C$3:C36=C36)*(D$3:D36=D36)*E$3:E36)</f>
        <v/>
      </c>
      <c r="K36" s="21">
        <f>SUMPRODUCT((B$3:B36=B36)*(C$3:C36=C36)*(D$3:D36=D36)*F$3:F36)</f>
        <v/>
      </c>
      <c r="L36" s="22">
        <f>IF(J36=0,0,K36/J36)</f>
        <v/>
      </c>
    </row>
    <row r="37">
      <c r="A37" s="37" t="inlineStr">
        <is>
          <t>Janvier</t>
        </is>
      </c>
      <c r="B37" s="37" t="n">
        <v>1</v>
      </c>
      <c r="C37" s="37" t="inlineStr">
        <is>
          <t>Administration</t>
        </is>
      </c>
      <c r="D37" s="37" t="inlineStr">
        <is>
          <t>Loyer &amp; Charges</t>
        </is>
      </c>
      <c r="E37" s="38" t="n">
        <v>18000</v>
      </c>
      <c r="F37" s="38" t="n">
        <v>20964</v>
      </c>
      <c r="G37" s="39">
        <f>F37-E37</f>
        <v/>
      </c>
      <c r="H37" s="40">
        <f>IF(E37=0,0,(F37-E37)/E37)</f>
        <v/>
      </c>
      <c r="I37" s="41">
        <f>IF(H37&gt;0.1,"⚠️ Dépassement",IF(H37&lt;-0.1,"✅ Économie","🔵 Normal"))</f>
        <v/>
      </c>
      <c r="J37" s="38">
        <f>SUMPRODUCT((B$3:B37=B37)*(C$3:C37=C37)*(D$3:D37=D37)*E$3:E37)</f>
        <v/>
      </c>
      <c r="K37" s="38">
        <f>SUMPRODUCT((B$3:B37=B37)*(C$3:C37=C37)*(D$3:D37=D37)*F$3:F37)</f>
        <v/>
      </c>
      <c r="L37" s="42">
        <f>IF(J37=0,0,K37/J37)</f>
        <v/>
      </c>
    </row>
    <row r="38">
      <c r="A38" s="23" t="inlineStr">
        <is>
          <t>Janvier</t>
        </is>
      </c>
      <c r="B38" s="23" t="n">
        <v>1</v>
      </c>
      <c r="C38" s="23" t="inlineStr">
        <is>
          <t>Administration</t>
        </is>
      </c>
      <c r="D38" s="23" t="inlineStr">
        <is>
          <t>Matières &amp; Fournitures</t>
        </is>
      </c>
      <c r="E38" s="21" t="n">
        <v>12000</v>
      </c>
      <c r="F38" s="21" t="n">
        <v>12611</v>
      </c>
      <c r="G38" s="39">
        <f>F38-E38</f>
        <v/>
      </c>
      <c r="H38" s="40">
        <f>IF(E38=0,0,(F38-E38)/E38)</f>
        <v/>
      </c>
      <c r="I38" s="41">
        <f>IF(H38&gt;0.1,"⚠️ Dépassement",IF(H38&lt;-0.1,"✅ Économie","🔵 Normal"))</f>
        <v/>
      </c>
      <c r="J38" s="21">
        <f>SUMPRODUCT((B$3:B38=B38)*(C$3:C38=C38)*(D$3:D38=D38)*E$3:E38)</f>
        <v/>
      </c>
      <c r="K38" s="21">
        <f>SUMPRODUCT((B$3:B38=B38)*(C$3:C38=C38)*(D$3:D38=D38)*F$3:F38)</f>
        <v/>
      </c>
      <c r="L38" s="22">
        <f>IF(J38=0,0,K38/J38)</f>
        <v/>
      </c>
    </row>
    <row r="39">
      <c r="A39" s="37" t="inlineStr">
        <is>
          <t>Janvier</t>
        </is>
      </c>
      <c r="B39" s="37" t="n">
        <v>1</v>
      </c>
      <c r="C39" s="37" t="inlineStr">
        <is>
          <t>Administration</t>
        </is>
      </c>
      <c r="D39" s="37" t="inlineStr">
        <is>
          <t>Informatique &amp; Licences</t>
        </is>
      </c>
      <c r="E39" s="38" t="n">
        <v>6000</v>
      </c>
      <c r="F39" s="38" t="n">
        <v>6611</v>
      </c>
      <c r="G39" s="39">
        <f>F39-E39</f>
        <v/>
      </c>
      <c r="H39" s="40">
        <f>IF(E39=0,0,(F39-E39)/E39)</f>
        <v/>
      </c>
      <c r="I39" s="41">
        <f>IF(H39&gt;0.1,"⚠️ Dépassement",IF(H39&lt;-0.1,"✅ Économie","🔵 Normal"))</f>
        <v/>
      </c>
      <c r="J39" s="38">
        <f>SUMPRODUCT((B$3:B39=B39)*(C$3:C39=C39)*(D$3:D39=D39)*E$3:E39)</f>
        <v/>
      </c>
      <c r="K39" s="38">
        <f>SUMPRODUCT((B$3:B39=B39)*(C$3:C39=C39)*(D$3:D39=D39)*F$3:F39)</f>
        <v/>
      </c>
      <c r="L39" s="42">
        <f>IF(J39=0,0,K39/J39)</f>
        <v/>
      </c>
    </row>
    <row r="40">
      <c r="A40" s="23" t="inlineStr">
        <is>
          <t>Janvier</t>
        </is>
      </c>
      <c r="B40" s="23" t="n">
        <v>1</v>
      </c>
      <c r="C40" s="23" t="inlineStr">
        <is>
          <t>Administration</t>
        </is>
      </c>
      <c r="D40" s="23" t="inlineStr">
        <is>
          <t>Déplacements &amp; Missions</t>
        </is>
      </c>
      <c r="E40" s="21" t="n">
        <v>9000</v>
      </c>
      <c r="F40" s="21" t="n">
        <v>7545</v>
      </c>
      <c r="G40" s="39">
        <f>F40-E40</f>
        <v/>
      </c>
      <c r="H40" s="40">
        <f>IF(E40=0,0,(F40-E40)/E40)</f>
        <v/>
      </c>
      <c r="I40" s="41">
        <f>IF(H40&gt;0.1,"⚠️ Dépassement",IF(H40&lt;-0.1,"✅ Économie","🔵 Normal"))</f>
        <v/>
      </c>
      <c r="J40" s="21">
        <f>SUMPRODUCT((B$3:B40=B40)*(C$3:C40=C40)*(D$3:D40=D40)*E$3:E40)</f>
        <v/>
      </c>
      <c r="K40" s="21">
        <f>SUMPRODUCT((B$3:B40=B40)*(C$3:C40=C40)*(D$3:D40=D40)*F$3:F40)</f>
        <v/>
      </c>
      <c r="L40" s="22">
        <f>IF(J40=0,0,K40/J40)</f>
        <v/>
      </c>
    </row>
    <row r="41">
      <c r="A41" s="37" t="inlineStr">
        <is>
          <t>Janvier</t>
        </is>
      </c>
      <c r="B41" s="37" t="n">
        <v>1</v>
      </c>
      <c r="C41" s="37" t="inlineStr">
        <is>
          <t>Administration</t>
        </is>
      </c>
      <c r="D41" s="37" t="inlineStr">
        <is>
          <t>Formation</t>
        </is>
      </c>
      <c r="E41" s="38" t="n">
        <v>5000</v>
      </c>
      <c r="F41" s="38" t="n">
        <v>4556</v>
      </c>
      <c r="G41" s="39">
        <f>F41-E41</f>
        <v/>
      </c>
      <c r="H41" s="40">
        <f>IF(E41=0,0,(F41-E41)/E41)</f>
        <v/>
      </c>
      <c r="I41" s="41">
        <f>IF(H41&gt;0.1,"⚠️ Dépassement",IF(H41&lt;-0.1,"✅ Économie","🔵 Normal"))</f>
        <v/>
      </c>
      <c r="J41" s="38">
        <f>SUMPRODUCT((B$3:B41=B41)*(C$3:C41=C41)*(D$3:D41=D41)*E$3:E41)</f>
        <v/>
      </c>
      <c r="K41" s="38">
        <f>SUMPRODUCT((B$3:B41=B41)*(C$3:C41=C41)*(D$3:D41=D41)*F$3:F41)</f>
        <v/>
      </c>
      <c r="L41" s="42">
        <f>IF(J41=0,0,K41/J41)</f>
        <v/>
      </c>
    </row>
    <row r="42">
      <c r="A42" s="23" t="inlineStr">
        <is>
          <t>Janvier</t>
        </is>
      </c>
      <c r="B42" s="23" t="n">
        <v>1</v>
      </c>
      <c r="C42" s="23" t="inlineStr">
        <is>
          <t>Administration</t>
        </is>
      </c>
      <c r="D42" s="23" t="inlineStr">
        <is>
          <t>Publicité &amp; Communication</t>
        </is>
      </c>
      <c r="E42" s="21" t="n">
        <v>2000</v>
      </c>
      <c r="F42" s="21" t="n">
        <v>2324</v>
      </c>
      <c r="G42" s="39">
        <f>F42-E42</f>
        <v/>
      </c>
      <c r="H42" s="40">
        <f>IF(E42=0,0,(F42-E42)/E42)</f>
        <v/>
      </c>
      <c r="I42" s="41">
        <f>IF(H42&gt;0.1,"⚠️ Dépassement",IF(H42&lt;-0.1,"✅ Économie","🔵 Normal"))</f>
        <v/>
      </c>
      <c r="J42" s="21">
        <f>SUMPRODUCT((B$3:B42=B42)*(C$3:C42=C42)*(D$3:D42=D42)*E$3:E42)</f>
        <v/>
      </c>
      <c r="K42" s="21">
        <f>SUMPRODUCT((B$3:B42=B42)*(C$3:C42=C42)*(D$3:D42=D42)*F$3:F42)</f>
        <v/>
      </c>
      <c r="L42" s="22">
        <f>IF(J42=0,0,K42/J42)</f>
        <v/>
      </c>
    </row>
    <row r="43">
      <c r="A43" s="37" t="inlineStr">
        <is>
          <t>Février</t>
        </is>
      </c>
      <c r="B43" s="37" t="n">
        <v>2</v>
      </c>
      <c r="C43" s="37" t="inlineStr">
        <is>
          <t>RH</t>
        </is>
      </c>
      <c r="D43" s="37" t="inlineStr">
        <is>
          <t>Salaires</t>
        </is>
      </c>
      <c r="E43" s="38" t="n">
        <v>180000</v>
      </c>
      <c r="F43" s="38" t="n">
        <v>164361</v>
      </c>
      <c r="G43" s="39">
        <f>F43-E43</f>
        <v/>
      </c>
      <c r="H43" s="40">
        <f>IF(E43=0,0,(F43-E43)/E43)</f>
        <v/>
      </c>
      <c r="I43" s="41">
        <f>IF(H43&gt;0.1,"⚠️ Dépassement",IF(H43&lt;-0.1,"✅ Économie","🔵 Normal"))</f>
        <v/>
      </c>
      <c r="J43" s="38">
        <f>SUMPRODUCT((B$3:B43=B43)*(C$3:C43=C43)*(D$3:D43=D43)*E$3:E43)</f>
        <v/>
      </c>
      <c r="K43" s="38">
        <f>SUMPRODUCT((B$3:B43=B43)*(C$3:C43=C43)*(D$3:D43=D43)*F$3:F43)</f>
        <v/>
      </c>
      <c r="L43" s="42">
        <f>IF(J43=0,0,K43/J43)</f>
        <v/>
      </c>
    </row>
    <row r="44">
      <c r="A44" s="23" t="inlineStr">
        <is>
          <t>Février</t>
        </is>
      </c>
      <c r="B44" s="23" t="n">
        <v>2</v>
      </c>
      <c r="C44" s="23" t="inlineStr">
        <is>
          <t>RH</t>
        </is>
      </c>
      <c r="D44" s="23" t="inlineStr">
        <is>
          <t>Charges sociales</t>
        </is>
      </c>
      <c r="E44" s="21" t="n">
        <v>54000</v>
      </c>
      <c r="F44" s="21" t="n">
        <v>46462</v>
      </c>
      <c r="G44" s="39">
        <f>F44-E44</f>
        <v/>
      </c>
      <c r="H44" s="40">
        <f>IF(E44=0,0,(F44-E44)/E44)</f>
        <v/>
      </c>
      <c r="I44" s="41">
        <f>IF(H44&gt;0.1,"⚠️ Dépassement",IF(H44&lt;-0.1,"✅ Économie","🔵 Normal"))</f>
        <v/>
      </c>
      <c r="J44" s="21">
        <f>SUMPRODUCT((B$3:B44=B44)*(C$3:C44=C44)*(D$3:D44=D44)*E$3:E44)</f>
        <v/>
      </c>
      <c r="K44" s="21">
        <f>SUMPRODUCT((B$3:B44=B44)*(C$3:C44=C44)*(D$3:D44=D44)*F$3:F44)</f>
        <v/>
      </c>
      <c r="L44" s="22">
        <f>IF(J44=0,0,K44/J44)</f>
        <v/>
      </c>
    </row>
    <row r="45">
      <c r="A45" s="37" t="inlineStr">
        <is>
          <t>Février</t>
        </is>
      </c>
      <c r="B45" s="37" t="n">
        <v>2</v>
      </c>
      <c r="C45" s="37" t="inlineStr">
        <is>
          <t>RH</t>
        </is>
      </c>
      <c r="D45" s="37" t="inlineStr">
        <is>
          <t>Loyer &amp; Charges</t>
        </is>
      </c>
      <c r="E45" s="38" t="n">
        <v>15000</v>
      </c>
      <c r="F45" s="38" t="n">
        <v>13968</v>
      </c>
      <c r="G45" s="39">
        <f>F45-E45</f>
        <v/>
      </c>
      <c r="H45" s="40">
        <f>IF(E45=0,0,(F45-E45)/E45)</f>
        <v/>
      </c>
      <c r="I45" s="41">
        <f>IF(H45&gt;0.1,"⚠️ Dépassement",IF(H45&lt;-0.1,"✅ Économie","🔵 Normal"))</f>
        <v/>
      </c>
      <c r="J45" s="38">
        <f>SUMPRODUCT((B$3:B45=B45)*(C$3:C45=C45)*(D$3:D45=D45)*E$3:E45)</f>
        <v/>
      </c>
      <c r="K45" s="38">
        <f>SUMPRODUCT((B$3:B45=B45)*(C$3:C45=C45)*(D$3:D45=D45)*F$3:F45)</f>
        <v/>
      </c>
      <c r="L45" s="42">
        <f>IF(J45=0,0,K45/J45)</f>
        <v/>
      </c>
    </row>
    <row r="46">
      <c r="A46" s="23" t="inlineStr">
        <is>
          <t>Février</t>
        </is>
      </c>
      <c r="B46" s="23" t="n">
        <v>2</v>
      </c>
      <c r="C46" s="23" t="inlineStr">
        <is>
          <t>RH</t>
        </is>
      </c>
      <c r="D46" s="23" t="inlineStr">
        <is>
          <t>Matières &amp; Fournitures</t>
        </is>
      </c>
      <c r="E46" s="21" t="n">
        <v>8000</v>
      </c>
      <c r="F46" s="21" t="n">
        <v>8594</v>
      </c>
      <c r="G46" s="39">
        <f>F46-E46</f>
        <v/>
      </c>
      <c r="H46" s="40">
        <f>IF(E46=0,0,(F46-E46)/E46)</f>
        <v/>
      </c>
      <c r="I46" s="41">
        <f>IF(H46&gt;0.1,"⚠️ Dépassement",IF(H46&lt;-0.1,"✅ Économie","🔵 Normal"))</f>
        <v/>
      </c>
      <c r="J46" s="21">
        <f>SUMPRODUCT((B$3:B46=B46)*(C$3:C46=C46)*(D$3:D46=D46)*E$3:E46)</f>
        <v/>
      </c>
      <c r="K46" s="21">
        <f>SUMPRODUCT((B$3:B46=B46)*(C$3:C46=C46)*(D$3:D46=D46)*F$3:F46)</f>
        <v/>
      </c>
      <c r="L46" s="22">
        <f>IF(J46=0,0,K46/J46)</f>
        <v/>
      </c>
    </row>
    <row r="47">
      <c r="A47" s="37" t="inlineStr">
        <is>
          <t>Février</t>
        </is>
      </c>
      <c r="B47" s="37" t="n">
        <v>2</v>
      </c>
      <c r="C47" s="37" t="inlineStr">
        <is>
          <t>RH</t>
        </is>
      </c>
      <c r="D47" s="37" t="inlineStr">
        <is>
          <t>Informatique &amp; Licences</t>
        </is>
      </c>
      <c r="E47" s="38" t="n">
        <v>5000</v>
      </c>
      <c r="F47" s="38" t="n">
        <v>4830</v>
      </c>
      <c r="G47" s="39">
        <f>F47-E47</f>
        <v/>
      </c>
      <c r="H47" s="40">
        <f>IF(E47=0,0,(F47-E47)/E47)</f>
        <v/>
      </c>
      <c r="I47" s="41">
        <f>IF(H47&gt;0.1,"⚠️ Dépassement",IF(H47&lt;-0.1,"✅ Économie","🔵 Normal"))</f>
        <v/>
      </c>
      <c r="J47" s="38">
        <f>SUMPRODUCT((B$3:B47=B47)*(C$3:C47=C47)*(D$3:D47=D47)*E$3:E47)</f>
        <v/>
      </c>
      <c r="K47" s="38">
        <f>SUMPRODUCT((B$3:B47=B47)*(C$3:C47=C47)*(D$3:D47=D47)*F$3:F47)</f>
        <v/>
      </c>
      <c r="L47" s="42">
        <f>IF(J47=0,0,K47/J47)</f>
        <v/>
      </c>
    </row>
    <row r="48">
      <c r="A48" s="23" t="inlineStr">
        <is>
          <t>Février</t>
        </is>
      </c>
      <c r="B48" s="23" t="n">
        <v>2</v>
      </c>
      <c r="C48" s="23" t="inlineStr">
        <is>
          <t>RH</t>
        </is>
      </c>
      <c r="D48" s="23" t="inlineStr">
        <is>
          <t>Déplacements &amp; Missions</t>
        </is>
      </c>
      <c r="E48" s="21" t="n">
        <v>7000</v>
      </c>
      <c r="F48" s="21" t="n">
        <v>6777</v>
      </c>
      <c r="G48" s="39">
        <f>F48-E48</f>
        <v/>
      </c>
      <c r="H48" s="40">
        <f>IF(E48=0,0,(F48-E48)/E48)</f>
        <v/>
      </c>
      <c r="I48" s="41">
        <f>IF(H48&gt;0.1,"⚠️ Dépassement",IF(H48&lt;-0.1,"✅ Économie","🔵 Normal"))</f>
        <v/>
      </c>
      <c r="J48" s="21">
        <f>SUMPRODUCT((B$3:B48=B48)*(C$3:C48=C48)*(D$3:D48=D48)*E$3:E48)</f>
        <v/>
      </c>
      <c r="K48" s="21">
        <f>SUMPRODUCT((B$3:B48=B48)*(C$3:C48=C48)*(D$3:D48=D48)*F$3:F48)</f>
        <v/>
      </c>
      <c r="L48" s="22">
        <f>IF(J48=0,0,K48/J48)</f>
        <v/>
      </c>
    </row>
    <row r="49">
      <c r="A49" s="37" t="inlineStr">
        <is>
          <t>Février</t>
        </is>
      </c>
      <c r="B49" s="37" t="n">
        <v>2</v>
      </c>
      <c r="C49" s="37" t="inlineStr">
        <is>
          <t>RH</t>
        </is>
      </c>
      <c r="D49" s="37" t="inlineStr">
        <is>
          <t>Formation</t>
        </is>
      </c>
      <c r="E49" s="38" t="n">
        <v>20000</v>
      </c>
      <c r="F49" s="38" t="n">
        <v>18076</v>
      </c>
      <c r="G49" s="39">
        <f>F49-E49</f>
        <v/>
      </c>
      <c r="H49" s="40">
        <f>IF(E49=0,0,(F49-E49)/E49)</f>
        <v/>
      </c>
      <c r="I49" s="41">
        <f>IF(H49&gt;0.1,"⚠️ Dépassement",IF(H49&lt;-0.1,"✅ Économie","🔵 Normal"))</f>
        <v/>
      </c>
      <c r="J49" s="38">
        <f>SUMPRODUCT((B$3:B49=B49)*(C$3:C49=C49)*(D$3:D49=D49)*E$3:E49)</f>
        <v/>
      </c>
      <c r="K49" s="38">
        <f>SUMPRODUCT((B$3:B49=B49)*(C$3:C49=C49)*(D$3:D49=D49)*F$3:F49)</f>
        <v/>
      </c>
      <c r="L49" s="42">
        <f>IF(J49=0,0,K49/J49)</f>
        <v/>
      </c>
    </row>
    <row r="50">
      <c r="A50" s="23" t="inlineStr">
        <is>
          <t>Février</t>
        </is>
      </c>
      <c r="B50" s="23" t="n">
        <v>2</v>
      </c>
      <c r="C50" s="23" t="inlineStr">
        <is>
          <t>RH</t>
        </is>
      </c>
      <c r="D50" s="23" t="inlineStr">
        <is>
          <t>Publicité &amp; Communication</t>
        </is>
      </c>
      <c r="E50" s="21" t="n">
        <v>3000</v>
      </c>
      <c r="F50" s="21" t="n">
        <v>2780</v>
      </c>
      <c r="G50" s="39">
        <f>F50-E50</f>
        <v/>
      </c>
      <c r="H50" s="40">
        <f>IF(E50=0,0,(F50-E50)/E50)</f>
        <v/>
      </c>
      <c r="I50" s="41">
        <f>IF(H50&gt;0.1,"⚠️ Dépassement",IF(H50&lt;-0.1,"✅ Économie","🔵 Normal"))</f>
        <v/>
      </c>
      <c r="J50" s="21">
        <f>SUMPRODUCT((B$3:B50=B50)*(C$3:C50=C50)*(D$3:D50=D50)*E$3:E50)</f>
        <v/>
      </c>
      <c r="K50" s="21">
        <f>SUMPRODUCT((B$3:B50=B50)*(C$3:C50=C50)*(D$3:D50=D50)*F$3:F50)</f>
        <v/>
      </c>
      <c r="L50" s="22">
        <f>IF(J50=0,0,K50/J50)</f>
        <v/>
      </c>
    </row>
    <row r="51">
      <c r="A51" s="37" t="inlineStr">
        <is>
          <t>Février</t>
        </is>
      </c>
      <c r="B51" s="37" t="n">
        <v>2</v>
      </c>
      <c r="C51" s="37" t="inlineStr">
        <is>
          <t>Marketing</t>
        </is>
      </c>
      <c r="D51" s="37" t="inlineStr">
        <is>
          <t>Salaires</t>
        </is>
      </c>
      <c r="E51" s="38" t="n">
        <v>95000</v>
      </c>
      <c r="F51" s="38" t="n">
        <v>113493</v>
      </c>
      <c r="G51" s="39">
        <f>F51-E51</f>
        <v/>
      </c>
      <c r="H51" s="40">
        <f>IF(E51=0,0,(F51-E51)/E51)</f>
        <v/>
      </c>
      <c r="I51" s="41">
        <f>IF(H51&gt;0.1,"⚠️ Dépassement",IF(H51&lt;-0.1,"✅ Économie","🔵 Normal"))</f>
        <v/>
      </c>
      <c r="J51" s="38">
        <f>SUMPRODUCT((B$3:B51=B51)*(C$3:C51=C51)*(D$3:D51=D51)*E$3:E51)</f>
        <v/>
      </c>
      <c r="K51" s="38">
        <f>SUMPRODUCT((B$3:B51=B51)*(C$3:C51=C51)*(D$3:D51=D51)*F$3:F51)</f>
        <v/>
      </c>
      <c r="L51" s="42">
        <f>IF(J51=0,0,K51/J51)</f>
        <v/>
      </c>
    </row>
    <row r="52">
      <c r="A52" s="23" t="inlineStr">
        <is>
          <t>Février</t>
        </is>
      </c>
      <c r="B52" s="23" t="n">
        <v>2</v>
      </c>
      <c r="C52" s="23" t="inlineStr">
        <is>
          <t>Marketing</t>
        </is>
      </c>
      <c r="D52" s="23" t="inlineStr">
        <is>
          <t>Charges sociales</t>
        </is>
      </c>
      <c r="E52" s="21" t="n">
        <v>28500</v>
      </c>
      <c r="F52" s="21" t="n">
        <v>30758</v>
      </c>
      <c r="G52" s="39">
        <f>F52-E52</f>
        <v/>
      </c>
      <c r="H52" s="40">
        <f>IF(E52=0,0,(F52-E52)/E52)</f>
        <v/>
      </c>
      <c r="I52" s="41">
        <f>IF(H52&gt;0.1,"⚠️ Dépassement",IF(H52&lt;-0.1,"✅ Économie","🔵 Normal"))</f>
        <v/>
      </c>
      <c r="J52" s="21">
        <f>SUMPRODUCT((B$3:B52=B52)*(C$3:C52=C52)*(D$3:D52=D52)*E$3:E52)</f>
        <v/>
      </c>
      <c r="K52" s="21">
        <f>SUMPRODUCT((B$3:B52=B52)*(C$3:C52=C52)*(D$3:D52=D52)*F$3:F52)</f>
        <v/>
      </c>
      <c r="L52" s="22">
        <f>IF(J52=0,0,K52/J52)</f>
        <v/>
      </c>
    </row>
    <row r="53">
      <c r="A53" s="37" t="inlineStr">
        <is>
          <t>Février</t>
        </is>
      </c>
      <c r="B53" s="37" t="n">
        <v>2</v>
      </c>
      <c r="C53" s="37" t="inlineStr">
        <is>
          <t>Marketing</t>
        </is>
      </c>
      <c r="D53" s="37" t="inlineStr">
        <is>
          <t>Loyer &amp; Charges</t>
        </is>
      </c>
      <c r="E53" s="38" t="n">
        <v>12000</v>
      </c>
      <c r="F53" s="38" t="n">
        <v>12764</v>
      </c>
      <c r="G53" s="39">
        <f>F53-E53</f>
        <v/>
      </c>
      <c r="H53" s="40">
        <f>IF(E53=0,0,(F53-E53)/E53)</f>
        <v/>
      </c>
      <c r="I53" s="41">
        <f>IF(H53&gt;0.1,"⚠️ Dépassement",IF(H53&lt;-0.1,"✅ Économie","🔵 Normal"))</f>
        <v/>
      </c>
      <c r="J53" s="38">
        <f>SUMPRODUCT((B$3:B53=B53)*(C$3:C53=C53)*(D$3:D53=D53)*E$3:E53)</f>
        <v/>
      </c>
      <c r="K53" s="38">
        <f>SUMPRODUCT((B$3:B53=B53)*(C$3:C53=C53)*(D$3:D53=D53)*F$3:F53)</f>
        <v/>
      </c>
      <c r="L53" s="42">
        <f>IF(J53=0,0,K53/J53)</f>
        <v/>
      </c>
    </row>
    <row r="54">
      <c r="A54" s="23" t="inlineStr">
        <is>
          <t>Février</t>
        </is>
      </c>
      <c r="B54" s="23" t="n">
        <v>2</v>
      </c>
      <c r="C54" s="23" t="inlineStr">
        <is>
          <t>Marketing</t>
        </is>
      </c>
      <c r="D54" s="23" t="inlineStr">
        <is>
          <t>Matières &amp; Fournitures</t>
        </is>
      </c>
      <c r="E54" s="21" t="n">
        <v>6000</v>
      </c>
      <c r="F54" s="21" t="n">
        <v>5331</v>
      </c>
      <c r="G54" s="39">
        <f>F54-E54</f>
        <v/>
      </c>
      <c r="H54" s="40">
        <f>IF(E54=0,0,(F54-E54)/E54)</f>
        <v/>
      </c>
      <c r="I54" s="41">
        <f>IF(H54&gt;0.1,"⚠️ Dépassement",IF(H54&lt;-0.1,"✅ Économie","🔵 Normal"))</f>
        <v/>
      </c>
      <c r="J54" s="21">
        <f>SUMPRODUCT((B$3:B54=B54)*(C$3:C54=C54)*(D$3:D54=D54)*E$3:E54)</f>
        <v/>
      </c>
      <c r="K54" s="21">
        <f>SUMPRODUCT((B$3:B54=B54)*(C$3:C54=C54)*(D$3:D54=D54)*F$3:F54)</f>
        <v/>
      </c>
      <c r="L54" s="22">
        <f>IF(J54=0,0,K54/J54)</f>
        <v/>
      </c>
    </row>
    <row r="55">
      <c r="A55" s="37" t="inlineStr">
        <is>
          <t>Février</t>
        </is>
      </c>
      <c r="B55" s="37" t="n">
        <v>2</v>
      </c>
      <c r="C55" s="37" t="inlineStr">
        <is>
          <t>Marketing</t>
        </is>
      </c>
      <c r="D55" s="37" t="inlineStr">
        <is>
          <t>Informatique &amp; Licences</t>
        </is>
      </c>
      <c r="E55" s="38" t="n">
        <v>8000</v>
      </c>
      <c r="F55" s="38" t="n">
        <v>8893</v>
      </c>
      <c r="G55" s="39">
        <f>F55-E55</f>
        <v/>
      </c>
      <c r="H55" s="40">
        <f>IF(E55=0,0,(F55-E55)/E55)</f>
        <v/>
      </c>
      <c r="I55" s="41">
        <f>IF(H55&gt;0.1,"⚠️ Dépassement",IF(H55&lt;-0.1,"✅ Économie","🔵 Normal"))</f>
        <v/>
      </c>
      <c r="J55" s="38">
        <f>SUMPRODUCT((B$3:B55=B55)*(C$3:C55=C55)*(D$3:D55=D55)*E$3:E55)</f>
        <v/>
      </c>
      <c r="K55" s="38">
        <f>SUMPRODUCT((B$3:B55=B55)*(C$3:C55=C55)*(D$3:D55=D55)*F$3:F55)</f>
        <v/>
      </c>
      <c r="L55" s="42">
        <f>IF(J55=0,0,K55/J55)</f>
        <v/>
      </c>
    </row>
    <row r="56">
      <c r="A56" s="23" t="inlineStr">
        <is>
          <t>Février</t>
        </is>
      </c>
      <c r="B56" s="23" t="n">
        <v>2</v>
      </c>
      <c r="C56" s="23" t="inlineStr">
        <is>
          <t>Marketing</t>
        </is>
      </c>
      <c r="D56" s="23" t="inlineStr">
        <is>
          <t>Déplacements &amp; Missions</t>
        </is>
      </c>
      <c r="E56" s="21" t="n">
        <v>15000</v>
      </c>
      <c r="F56" s="21" t="n">
        <v>13280</v>
      </c>
      <c r="G56" s="39">
        <f>F56-E56</f>
        <v/>
      </c>
      <c r="H56" s="40">
        <f>IF(E56=0,0,(F56-E56)/E56)</f>
        <v/>
      </c>
      <c r="I56" s="41">
        <f>IF(H56&gt;0.1,"⚠️ Dépassement",IF(H56&lt;-0.1,"✅ Économie","🔵 Normal"))</f>
        <v/>
      </c>
      <c r="J56" s="21">
        <f>SUMPRODUCT((B$3:B56=B56)*(C$3:C56=C56)*(D$3:D56=D56)*E$3:E56)</f>
        <v/>
      </c>
      <c r="K56" s="21">
        <f>SUMPRODUCT((B$3:B56=B56)*(C$3:C56=C56)*(D$3:D56=D56)*F$3:F56)</f>
        <v/>
      </c>
      <c r="L56" s="22">
        <f>IF(J56=0,0,K56/J56)</f>
        <v/>
      </c>
    </row>
    <row r="57">
      <c r="A57" s="37" t="inlineStr">
        <is>
          <t>Février</t>
        </is>
      </c>
      <c r="B57" s="37" t="n">
        <v>2</v>
      </c>
      <c r="C57" s="37" t="inlineStr">
        <is>
          <t>Marketing</t>
        </is>
      </c>
      <c r="D57" s="37" t="inlineStr">
        <is>
          <t>Formation</t>
        </is>
      </c>
      <c r="E57" s="38" t="n">
        <v>8000</v>
      </c>
      <c r="F57" s="38" t="n">
        <v>7774</v>
      </c>
      <c r="G57" s="39">
        <f>F57-E57</f>
        <v/>
      </c>
      <c r="H57" s="40">
        <f>IF(E57=0,0,(F57-E57)/E57)</f>
        <v/>
      </c>
      <c r="I57" s="41">
        <f>IF(H57&gt;0.1,"⚠️ Dépassement",IF(H57&lt;-0.1,"✅ Économie","🔵 Normal"))</f>
        <v/>
      </c>
      <c r="J57" s="38">
        <f>SUMPRODUCT((B$3:B57=B57)*(C$3:C57=C57)*(D$3:D57=D57)*E$3:E57)</f>
        <v/>
      </c>
      <c r="K57" s="38">
        <f>SUMPRODUCT((B$3:B57=B57)*(C$3:C57=C57)*(D$3:D57=D57)*F$3:F57)</f>
        <v/>
      </c>
      <c r="L57" s="42">
        <f>IF(J57=0,0,K57/J57)</f>
        <v/>
      </c>
    </row>
    <row r="58">
      <c r="A58" s="23" t="inlineStr">
        <is>
          <t>Février</t>
        </is>
      </c>
      <c r="B58" s="23" t="n">
        <v>2</v>
      </c>
      <c r="C58" s="23" t="inlineStr">
        <is>
          <t>Marketing</t>
        </is>
      </c>
      <c r="D58" s="23" t="inlineStr">
        <is>
          <t>Publicité &amp; Communication</t>
        </is>
      </c>
      <c r="E58" s="21" t="n">
        <v>45000</v>
      </c>
      <c r="F58" s="21" t="n">
        <v>54711</v>
      </c>
      <c r="G58" s="39">
        <f>F58-E58</f>
        <v/>
      </c>
      <c r="H58" s="40">
        <f>IF(E58=0,0,(F58-E58)/E58)</f>
        <v/>
      </c>
      <c r="I58" s="41">
        <f>IF(H58&gt;0.1,"⚠️ Dépassement",IF(H58&lt;-0.1,"✅ Économie","🔵 Normal"))</f>
        <v/>
      </c>
      <c r="J58" s="21">
        <f>SUMPRODUCT((B$3:B58=B58)*(C$3:C58=C58)*(D$3:D58=D58)*E$3:E58)</f>
        <v/>
      </c>
      <c r="K58" s="21">
        <f>SUMPRODUCT((B$3:B58=B58)*(C$3:C58=C58)*(D$3:D58=D58)*F$3:F58)</f>
        <v/>
      </c>
      <c r="L58" s="22">
        <f>IF(J58=0,0,K58/J58)</f>
        <v/>
      </c>
    </row>
    <row r="59">
      <c r="A59" s="37" t="inlineStr">
        <is>
          <t>Février</t>
        </is>
      </c>
      <c r="B59" s="37" t="n">
        <v>2</v>
      </c>
      <c r="C59" s="37" t="inlineStr">
        <is>
          <t>Production</t>
        </is>
      </c>
      <c r="D59" s="37" t="inlineStr">
        <is>
          <t>Salaires</t>
        </is>
      </c>
      <c r="E59" s="38" t="n">
        <v>220000</v>
      </c>
      <c r="F59" s="38" t="n">
        <v>236720</v>
      </c>
      <c r="G59" s="39">
        <f>F59-E59</f>
        <v/>
      </c>
      <c r="H59" s="40">
        <f>IF(E59=0,0,(F59-E59)/E59)</f>
        <v/>
      </c>
      <c r="I59" s="41">
        <f>IF(H59&gt;0.1,"⚠️ Dépassement",IF(H59&lt;-0.1,"✅ Économie","🔵 Normal"))</f>
        <v/>
      </c>
      <c r="J59" s="38">
        <f>SUMPRODUCT((B$3:B59=B59)*(C$3:C59=C59)*(D$3:D59=D59)*E$3:E59)</f>
        <v/>
      </c>
      <c r="K59" s="38">
        <f>SUMPRODUCT((B$3:B59=B59)*(C$3:C59=C59)*(D$3:D59=D59)*F$3:F59)</f>
        <v/>
      </c>
      <c r="L59" s="42">
        <f>IF(J59=0,0,K59/J59)</f>
        <v/>
      </c>
    </row>
    <row r="60">
      <c r="A60" s="23" t="inlineStr">
        <is>
          <t>Février</t>
        </is>
      </c>
      <c r="B60" s="23" t="n">
        <v>2</v>
      </c>
      <c r="C60" s="23" t="inlineStr">
        <is>
          <t>Production</t>
        </is>
      </c>
      <c r="D60" s="23" t="inlineStr">
        <is>
          <t>Charges sociales</t>
        </is>
      </c>
      <c r="E60" s="21" t="n">
        <v>66000</v>
      </c>
      <c r="F60" s="21" t="n">
        <v>68823</v>
      </c>
      <c r="G60" s="39">
        <f>F60-E60</f>
        <v/>
      </c>
      <c r="H60" s="40">
        <f>IF(E60=0,0,(F60-E60)/E60)</f>
        <v/>
      </c>
      <c r="I60" s="41">
        <f>IF(H60&gt;0.1,"⚠️ Dépassement",IF(H60&lt;-0.1,"✅ Économie","🔵 Normal"))</f>
        <v/>
      </c>
      <c r="J60" s="21">
        <f>SUMPRODUCT((B$3:B60=B60)*(C$3:C60=C60)*(D$3:D60=D60)*E$3:E60)</f>
        <v/>
      </c>
      <c r="K60" s="21">
        <f>SUMPRODUCT((B$3:B60=B60)*(C$3:C60=C60)*(D$3:D60=D60)*F$3:F60)</f>
        <v/>
      </c>
      <c r="L60" s="22">
        <f>IF(J60=0,0,K60/J60)</f>
        <v/>
      </c>
    </row>
    <row r="61">
      <c r="A61" s="37" t="inlineStr">
        <is>
          <t>Février</t>
        </is>
      </c>
      <c r="B61" s="37" t="n">
        <v>2</v>
      </c>
      <c r="C61" s="37" t="inlineStr">
        <is>
          <t>Production</t>
        </is>
      </c>
      <c r="D61" s="37" t="inlineStr">
        <is>
          <t>Loyer &amp; Charges</t>
        </is>
      </c>
      <c r="E61" s="38" t="n">
        <v>35000</v>
      </c>
      <c r="F61" s="38" t="n">
        <v>38285</v>
      </c>
      <c r="G61" s="39">
        <f>F61-E61</f>
        <v/>
      </c>
      <c r="H61" s="40">
        <f>IF(E61=0,0,(F61-E61)/E61)</f>
        <v/>
      </c>
      <c r="I61" s="41">
        <f>IF(H61&gt;0.1,"⚠️ Dépassement",IF(H61&lt;-0.1,"✅ Économie","🔵 Normal"))</f>
        <v/>
      </c>
      <c r="J61" s="38">
        <f>SUMPRODUCT((B$3:B61=B61)*(C$3:C61=C61)*(D$3:D61=D61)*E$3:E61)</f>
        <v/>
      </c>
      <c r="K61" s="38">
        <f>SUMPRODUCT((B$3:B61=B61)*(C$3:C61=C61)*(D$3:D61=D61)*F$3:F61)</f>
        <v/>
      </c>
      <c r="L61" s="42">
        <f>IF(J61=0,0,K61/J61)</f>
        <v/>
      </c>
    </row>
    <row r="62">
      <c r="A62" s="23" t="inlineStr">
        <is>
          <t>Février</t>
        </is>
      </c>
      <c r="B62" s="23" t="n">
        <v>2</v>
      </c>
      <c r="C62" s="23" t="inlineStr">
        <is>
          <t>Production</t>
        </is>
      </c>
      <c r="D62" s="23" t="inlineStr">
        <is>
          <t>Matières &amp; Fournitures</t>
        </is>
      </c>
      <c r="E62" s="21" t="n">
        <v>85000</v>
      </c>
      <c r="F62" s="21" t="n">
        <v>98357</v>
      </c>
      <c r="G62" s="39">
        <f>F62-E62</f>
        <v/>
      </c>
      <c r="H62" s="40">
        <f>IF(E62=0,0,(F62-E62)/E62)</f>
        <v/>
      </c>
      <c r="I62" s="41">
        <f>IF(H62&gt;0.1,"⚠️ Dépassement",IF(H62&lt;-0.1,"✅ Économie","🔵 Normal"))</f>
        <v/>
      </c>
      <c r="J62" s="21">
        <f>SUMPRODUCT((B$3:B62=B62)*(C$3:C62=C62)*(D$3:D62=D62)*E$3:E62)</f>
        <v/>
      </c>
      <c r="K62" s="21">
        <f>SUMPRODUCT((B$3:B62=B62)*(C$3:C62=C62)*(D$3:D62=D62)*F$3:F62)</f>
        <v/>
      </c>
      <c r="L62" s="22">
        <f>IF(J62=0,0,K62/J62)</f>
        <v/>
      </c>
    </row>
    <row r="63">
      <c r="A63" s="37" t="inlineStr">
        <is>
          <t>Février</t>
        </is>
      </c>
      <c r="B63" s="37" t="n">
        <v>2</v>
      </c>
      <c r="C63" s="37" t="inlineStr">
        <is>
          <t>Production</t>
        </is>
      </c>
      <c r="D63" s="37" t="inlineStr">
        <is>
          <t>Informatique &amp; Licences</t>
        </is>
      </c>
      <c r="E63" s="38" t="n">
        <v>12000</v>
      </c>
      <c r="F63" s="38" t="n">
        <v>13565</v>
      </c>
      <c r="G63" s="39">
        <f>F63-E63</f>
        <v/>
      </c>
      <c r="H63" s="40">
        <f>IF(E63=0,0,(F63-E63)/E63)</f>
        <v/>
      </c>
      <c r="I63" s="41">
        <f>IF(H63&gt;0.1,"⚠️ Dépassement",IF(H63&lt;-0.1,"✅ Économie","🔵 Normal"))</f>
        <v/>
      </c>
      <c r="J63" s="38">
        <f>SUMPRODUCT((B$3:B63=B63)*(C$3:C63=C63)*(D$3:D63=D63)*E$3:E63)</f>
        <v/>
      </c>
      <c r="K63" s="38">
        <f>SUMPRODUCT((B$3:B63=B63)*(C$3:C63=C63)*(D$3:D63=D63)*F$3:F63)</f>
        <v/>
      </c>
      <c r="L63" s="42">
        <f>IF(J63=0,0,K63/J63)</f>
        <v/>
      </c>
    </row>
    <row r="64">
      <c r="A64" s="23" t="inlineStr">
        <is>
          <t>Février</t>
        </is>
      </c>
      <c r="B64" s="23" t="n">
        <v>2</v>
      </c>
      <c r="C64" s="23" t="inlineStr">
        <is>
          <t>Production</t>
        </is>
      </c>
      <c r="D64" s="23" t="inlineStr">
        <is>
          <t>Déplacements &amp; Missions</t>
        </is>
      </c>
      <c r="E64" s="21" t="n">
        <v>10000</v>
      </c>
      <c r="F64" s="21" t="n">
        <v>9116</v>
      </c>
      <c r="G64" s="39">
        <f>F64-E64</f>
        <v/>
      </c>
      <c r="H64" s="40">
        <f>IF(E64=0,0,(F64-E64)/E64)</f>
        <v/>
      </c>
      <c r="I64" s="41">
        <f>IF(H64&gt;0.1,"⚠️ Dépassement",IF(H64&lt;-0.1,"✅ Économie","🔵 Normal"))</f>
        <v/>
      </c>
      <c r="J64" s="21">
        <f>SUMPRODUCT((B$3:B64=B64)*(C$3:C64=C64)*(D$3:D64=D64)*E$3:E64)</f>
        <v/>
      </c>
      <c r="K64" s="21">
        <f>SUMPRODUCT((B$3:B64=B64)*(C$3:C64=C64)*(D$3:D64=D64)*F$3:F64)</f>
        <v/>
      </c>
      <c r="L64" s="22">
        <f>IF(J64=0,0,K64/J64)</f>
        <v/>
      </c>
    </row>
    <row r="65">
      <c r="A65" s="37" t="inlineStr">
        <is>
          <t>Février</t>
        </is>
      </c>
      <c r="B65" s="37" t="n">
        <v>2</v>
      </c>
      <c r="C65" s="37" t="inlineStr">
        <is>
          <t>Production</t>
        </is>
      </c>
      <c r="D65" s="37" t="inlineStr">
        <is>
          <t>Formation</t>
        </is>
      </c>
      <c r="E65" s="38" t="n">
        <v>15000</v>
      </c>
      <c r="F65" s="38" t="n">
        <v>12493</v>
      </c>
      <c r="G65" s="39">
        <f>F65-E65</f>
        <v/>
      </c>
      <c r="H65" s="40">
        <f>IF(E65=0,0,(F65-E65)/E65)</f>
        <v/>
      </c>
      <c r="I65" s="41">
        <f>IF(H65&gt;0.1,"⚠️ Dépassement",IF(H65&lt;-0.1,"✅ Économie","🔵 Normal"))</f>
        <v/>
      </c>
      <c r="J65" s="38">
        <f>SUMPRODUCT((B$3:B65=B65)*(C$3:C65=C65)*(D$3:D65=D65)*E$3:E65)</f>
        <v/>
      </c>
      <c r="K65" s="38">
        <f>SUMPRODUCT((B$3:B65=B65)*(C$3:C65=C65)*(D$3:D65=D65)*F$3:F65)</f>
        <v/>
      </c>
      <c r="L65" s="42">
        <f>IF(J65=0,0,K65/J65)</f>
        <v/>
      </c>
    </row>
    <row r="66">
      <c r="A66" s="23" t="inlineStr">
        <is>
          <t>Février</t>
        </is>
      </c>
      <c r="B66" s="23" t="n">
        <v>2</v>
      </c>
      <c r="C66" s="23" t="inlineStr">
        <is>
          <t>Production</t>
        </is>
      </c>
      <c r="D66" s="23" t="inlineStr">
        <is>
          <t>Publicité &amp; Communication</t>
        </is>
      </c>
      <c r="E66" s="21" t="n">
        <v>5000</v>
      </c>
      <c r="F66" s="21" t="n">
        <v>4731</v>
      </c>
      <c r="G66" s="39">
        <f>F66-E66</f>
        <v/>
      </c>
      <c r="H66" s="40">
        <f>IF(E66=0,0,(F66-E66)/E66)</f>
        <v/>
      </c>
      <c r="I66" s="41">
        <f>IF(H66&gt;0.1,"⚠️ Dépassement",IF(H66&lt;-0.1,"✅ Économie","🔵 Normal"))</f>
        <v/>
      </c>
      <c r="J66" s="21">
        <f>SUMPRODUCT((B$3:B66=B66)*(C$3:C66=C66)*(D$3:D66=D66)*E$3:E66)</f>
        <v/>
      </c>
      <c r="K66" s="21">
        <f>SUMPRODUCT((B$3:B66=B66)*(C$3:C66=C66)*(D$3:D66=D66)*F$3:F66)</f>
        <v/>
      </c>
      <c r="L66" s="22">
        <f>IF(J66=0,0,K66/J66)</f>
        <v/>
      </c>
    </row>
    <row r="67">
      <c r="A67" s="37" t="inlineStr">
        <is>
          <t>Février</t>
        </is>
      </c>
      <c r="B67" s="37" t="n">
        <v>2</v>
      </c>
      <c r="C67" s="37" t="inlineStr">
        <is>
          <t>IT</t>
        </is>
      </c>
      <c r="D67" s="37" t="inlineStr">
        <is>
          <t>Salaires</t>
        </is>
      </c>
      <c r="E67" s="38" t="n">
        <v>130000</v>
      </c>
      <c r="F67" s="38" t="n">
        <v>120523</v>
      </c>
      <c r="G67" s="39">
        <f>F67-E67</f>
        <v/>
      </c>
      <c r="H67" s="40">
        <f>IF(E67=0,0,(F67-E67)/E67)</f>
        <v/>
      </c>
      <c r="I67" s="41">
        <f>IF(H67&gt;0.1,"⚠️ Dépassement",IF(H67&lt;-0.1,"✅ Économie","🔵 Normal"))</f>
        <v/>
      </c>
      <c r="J67" s="38">
        <f>SUMPRODUCT((B$3:B67=B67)*(C$3:C67=C67)*(D$3:D67=D67)*E$3:E67)</f>
        <v/>
      </c>
      <c r="K67" s="38">
        <f>SUMPRODUCT((B$3:B67=B67)*(C$3:C67=C67)*(D$3:D67=D67)*F$3:F67)</f>
        <v/>
      </c>
      <c r="L67" s="42">
        <f>IF(J67=0,0,K67/J67)</f>
        <v/>
      </c>
    </row>
    <row r="68">
      <c r="A68" s="23" t="inlineStr">
        <is>
          <t>Février</t>
        </is>
      </c>
      <c r="B68" s="23" t="n">
        <v>2</v>
      </c>
      <c r="C68" s="23" t="inlineStr">
        <is>
          <t>IT</t>
        </is>
      </c>
      <c r="D68" s="23" t="inlineStr">
        <is>
          <t>Charges sociales</t>
        </is>
      </c>
      <c r="E68" s="21" t="n">
        <v>39000</v>
      </c>
      <c r="F68" s="21" t="n">
        <v>35271</v>
      </c>
      <c r="G68" s="39">
        <f>F68-E68</f>
        <v/>
      </c>
      <c r="H68" s="40">
        <f>IF(E68=0,0,(F68-E68)/E68)</f>
        <v/>
      </c>
      <c r="I68" s="41">
        <f>IF(H68&gt;0.1,"⚠️ Dépassement",IF(H68&lt;-0.1,"✅ Économie","🔵 Normal"))</f>
        <v/>
      </c>
      <c r="J68" s="21">
        <f>SUMPRODUCT((B$3:B68=B68)*(C$3:C68=C68)*(D$3:D68=D68)*E$3:E68)</f>
        <v/>
      </c>
      <c r="K68" s="21">
        <f>SUMPRODUCT((B$3:B68=B68)*(C$3:C68=C68)*(D$3:D68=D68)*F$3:F68)</f>
        <v/>
      </c>
      <c r="L68" s="22">
        <f>IF(J68=0,0,K68/J68)</f>
        <v/>
      </c>
    </row>
    <row r="69">
      <c r="A69" s="37" t="inlineStr">
        <is>
          <t>Février</t>
        </is>
      </c>
      <c r="B69" s="37" t="n">
        <v>2</v>
      </c>
      <c r="C69" s="37" t="inlineStr">
        <is>
          <t>IT</t>
        </is>
      </c>
      <c r="D69" s="37" t="inlineStr">
        <is>
          <t>Loyer &amp; Charges</t>
        </is>
      </c>
      <c r="E69" s="38" t="n">
        <v>10000</v>
      </c>
      <c r="F69" s="38" t="n">
        <v>11972</v>
      </c>
      <c r="G69" s="39">
        <f>F69-E69</f>
        <v/>
      </c>
      <c r="H69" s="40">
        <f>IF(E69=0,0,(F69-E69)/E69)</f>
        <v/>
      </c>
      <c r="I69" s="41">
        <f>IF(H69&gt;0.1,"⚠️ Dépassement",IF(H69&lt;-0.1,"✅ Économie","🔵 Normal"))</f>
        <v/>
      </c>
      <c r="J69" s="38">
        <f>SUMPRODUCT((B$3:B69=B69)*(C$3:C69=C69)*(D$3:D69=D69)*E$3:E69)</f>
        <v/>
      </c>
      <c r="K69" s="38">
        <f>SUMPRODUCT((B$3:B69=B69)*(C$3:C69=C69)*(D$3:D69=D69)*F$3:F69)</f>
        <v/>
      </c>
      <c r="L69" s="42">
        <f>IF(J69=0,0,K69/J69)</f>
        <v/>
      </c>
    </row>
    <row r="70">
      <c r="A70" s="23" t="inlineStr">
        <is>
          <t>Février</t>
        </is>
      </c>
      <c r="B70" s="23" t="n">
        <v>2</v>
      </c>
      <c r="C70" s="23" t="inlineStr">
        <is>
          <t>IT</t>
        </is>
      </c>
      <c r="D70" s="23" t="inlineStr">
        <is>
          <t>Matières &amp; Fournitures</t>
        </is>
      </c>
      <c r="E70" s="21" t="n">
        <v>20000</v>
      </c>
      <c r="F70" s="21" t="n">
        <v>23411</v>
      </c>
      <c r="G70" s="39">
        <f>F70-E70</f>
        <v/>
      </c>
      <c r="H70" s="40">
        <f>IF(E70=0,0,(F70-E70)/E70)</f>
        <v/>
      </c>
      <c r="I70" s="41">
        <f>IF(H70&gt;0.1,"⚠️ Dépassement",IF(H70&lt;-0.1,"✅ Économie","🔵 Normal"))</f>
        <v/>
      </c>
      <c r="J70" s="21">
        <f>SUMPRODUCT((B$3:B70=B70)*(C$3:C70=C70)*(D$3:D70=D70)*E$3:E70)</f>
        <v/>
      </c>
      <c r="K70" s="21">
        <f>SUMPRODUCT((B$3:B70=B70)*(C$3:C70=C70)*(D$3:D70=D70)*F$3:F70)</f>
        <v/>
      </c>
      <c r="L70" s="22">
        <f>IF(J70=0,0,K70/J70)</f>
        <v/>
      </c>
    </row>
    <row r="71">
      <c r="A71" s="37" t="inlineStr">
        <is>
          <t>Février</t>
        </is>
      </c>
      <c r="B71" s="37" t="n">
        <v>2</v>
      </c>
      <c r="C71" s="37" t="inlineStr">
        <is>
          <t>IT</t>
        </is>
      </c>
      <c r="D71" s="37" t="inlineStr">
        <is>
          <t>Informatique &amp; Licences</t>
        </is>
      </c>
      <c r="E71" s="38" t="n">
        <v>50000</v>
      </c>
      <c r="F71" s="38" t="n">
        <v>47294</v>
      </c>
      <c r="G71" s="39">
        <f>F71-E71</f>
        <v/>
      </c>
      <c r="H71" s="40">
        <f>IF(E71=0,0,(F71-E71)/E71)</f>
        <v/>
      </c>
      <c r="I71" s="41">
        <f>IF(H71&gt;0.1,"⚠️ Dépassement",IF(H71&lt;-0.1,"✅ Économie","🔵 Normal"))</f>
        <v/>
      </c>
      <c r="J71" s="38">
        <f>SUMPRODUCT((B$3:B71=B71)*(C$3:C71=C71)*(D$3:D71=D71)*E$3:E71)</f>
        <v/>
      </c>
      <c r="K71" s="38">
        <f>SUMPRODUCT((B$3:B71=B71)*(C$3:C71=C71)*(D$3:D71=D71)*F$3:F71)</f>
        <v/>
      </c>
      <c r="L71" s="42">
        <f>IF(J71=0,0,K71/J71)</f>
        <v/>
      </c>
    </row>
    <row r="72">
      <c r="A72" s="23" t="inlineStr">
        <is>
          <t>Février</t>
        </is>
      </c>
      <c r="B72" s="23" t="n">
        <v>2</v>
      </c>
      <c r="C72" s="23" t="inlineStr">
        <is>
          <t>IT</t>
        </is>
      </c>
      <c r="D72" s="23" t="inlineStr">
        <is>
          <t>Déplacements &amp; Missions</t>
        </is>
      </c>
      <c r="E72" s="21" t="n">
        <v>8000</v>
      </c>
      <c r="F72" s="21" t="n">
        <v>8657</v>
      </c>
      <c r="G72" s="39">
        <f>F72-E72</f>
        <v/>
      </c>
      <c r="H72" s="40">
        <f>IF(E72=0,0,(F72-E72)/E72)</f>
        <v/>
      </c>
      <c r="I72" s="41">
        <f>IF(H72&gt;0.1,"⚠️ Dépassement",IF(H72&lt;-0.1,"✅ Économie","🔵 Normal"))</f>
        <v/>
      </c>
      <c r="J72" s="21">
        <f>SUMPRODUCT((B$3:B72=B72)*(C$3:C72=C72)*(D$3:D72=D72)*E$3:E72)</f>
        <v/>
      </c>
      <c r="K72" s="21">
        <f>SUMPRODUCT((B$3:B72=B72)*(C$3:C72=C72)*(D$3:D72=D72)*F$3:F72)</f>
        <v/>
      </c>
      <c r="L72" s="22">
        <f>IF(J72=0,0,K72/J72)</f>
        <v/>
      </c>
    </row>
    <row r="73">
      <c r="A73" s="37" t="inlineStr">
        <is>
          <t>Février</t>
        </is>
      </c>
      <c r="B73" s="37" t="n">
        <v>2</v>
      </c>
      <c r="C73" s="37" t="inlineStr">
        <is>
          <t>IT</t>
        </is>
      </c>
      <c r="D73" s="37" t="inlineStr">
        <is>
          <t>Formation</t>
        </is>
      </c>
      <c r="E73" s="38" t="n">
        <v>18000</v>
      </c>
      <c r="F73" s="38" t="n">
        <v>17609</v>
      </c>
      <c r="G73" s="39">
        <f>F73-E73</f>
        <v/>
      </c>
      <c r="H73" s="40">
        <f>IF(E73=0,0,(F73-E73)/E73)</f>
        <v/>
      </c>
      <c r="I73" s="41">
        <f>IF(H73&gt;0.1,"⚠️ Dépassement",IF(H73&lt;-0.1,"✅ Économie","🔵 Normal"))</f>
        <v/>
      </c>
      <c r="J73" s="38">
        <f>SUMPRODUCT((B$3:B73=B73)*(C$3:C73=C73)*(D$3:D73=D73)*E$3:E73)</f>
        <v/>
      </c>
      <c r="K73" s="38">
        <f>SUMPRODUCT((B$3:B73=B73)*(C$3:C73=C73)*(D$3:D73=D73)*F$3:F73)</f>
        <v/>
      </c>
      <c r="L73" s="42">
        <f>IF(J73=0,0,K73/J73)</f>
        <v/>
      </c>
    </row>
    <row r="74">
      <c r="A74" s="23" t="inlineStr">
        <is>
          <t>Février</t>
        </is>
      </c>
      <c r="B74" s="23" t="n">
        <v>2</v>
      </c>
      <c r="C74" s="23" t="inlineStr">
        <is>
          <t>IT</t>
        </is>
      </c>
      <c r="D74" s="23" t="inlineStr">
        <is>
          <t>Publicité &amp; Communication</t>
        </is>
      </c>
      <c r="E74" s="21" t="n">
        <v>4000</v>
      </c>
      <c r="F74" s="21" t="n">
        <v>4743</v>
      </c>
      <c r="G74" s="39">
        <f>F74-E74</f>
        <v/>
      </c>
      <c r="H74" s="40">
        <f>IF(E74=0,0,(F74-E74)/E74)</f>
        <v/>
      </c>
      <c r="I74" s="41">
        <f>IF(H74&gt;0.1,"⚠️ Dépassement",IF(H74&lt;-0.1,"✅ Économie","🔵 Normal"))</f>
        <v/>
      </c>
      <c r="J74" s="21">
        <f>SUMPRODUCT((B$3:B74=B74)*(C$3:C74=C74)*(D$3:D74=D74)*E$3:E74)</f>
        <v/>
      </c>
      <c r="K74" s="21">
        <f>SUMPRODUCT((B$3:B74=B74)*(C$3:C74=C74)*(D$3:D74=D74)*F$3:F74)</f>
        <v/>
      </c>
      <c r="L74" s="22">
        <f>IF(J74=0,0,K74/J74)</f>
        <v/>
      </c>
    </row>
    <row r="75">
      <c r="A75" s="37" t="inlineStr">
        <is>
          <t>Février</t>
        </is>
      </c>
      <c r="B75" s="37" t="n">
        <v>2</v>
      </c>
      <c r="C75" s="37" t="inlineStr">
        <is>
          <t>Administration</t>
        </is>
      </c>
      <c r="D75" s="37" t="inlineStr">
        <is>
          <t>Salaires</t>
        </is>
      </c>
      <c r="E75" s="38" t="n">
        <v>75000</v>
      </c>
      <c r="F75" s="38" t="n">
        <v>75266</v>
      </c>
      <c r="G75" s="39">
        <f>F75-E75</f>
        <v/>
      </c>
      <c r="H75" s="40">
        <f>IF(E75=0,0,(F75-E75)/E75)</f>
        <v/>
      </c>
      <c r="I75" s="41">
        <f>IF(H75&gt;0.1,"⚠️ Dépassement",IF(H75&lt;-0.1,"✅ Économie","🔵 Normal"))</f>
        <v/>
      </c>
      <c r="J75" s="38">
        <f>SUMPRODUCT((B$3:B75=B75)*(C$3:C75=C75)*(D$3:D75=D75)*E$3:E75)</f>
        <v/>
      </c>
      <c r="K75" s="38">
        <f>SUMPRODUCT((B$3:B75=B75)*(C$3:C75=C75)*(D$3:D75=D75)*F$3:F75)</f>
        <v/>
      </c>
      <c r="L75" s="42">
        <f>IF(J75=0,0,K75/J75)</f>
        <v/>
      </c>
    </row>
    <row r="76">
      <c r="A76" s="23" t="inlineStr">
        <is>
          <t>Février</t>
        </is>
      </c>
      <c r="B76" s="23" t="n">
        <v>2</v>
      </c>
      <c r="C76" s="23" t="inlineStr">
        <is>
          <t>Administration</t>
        </is>
      </c>
      <c r="D76" s="23" t="inlineStr">
        <is>
          <t>Charges sociales</t>
        </is>
      </c>
      <c r="E76" s="21" t="n">
        <v>22500</v>
      </c>
      <c r="F76" s="21" t="n">
        <v>20834</v>
      </c>
      <c r="G76" s="39">
        <f>F76-E76</f>
        <v/>
      </c>
      <c r="H76" s="40">
        <f>IF(E76=0,0,(F76-E76)/E76)</f>
        <v/>
      </c>
      <c r="I76" s="41">
        <f>IF(H76&gt;0.1,"⚠️ Dépassement",IF(H76&lt;-0.1,"✅ Économie","🔵 Normal"))</f>
        <v/>
      </c>
      <c r="J76" s="21">
        <f>SUMPRODUCT((B$3:B76=B76)*(C$3:C76=C76)*(D$3:D76=D76)*E$3:E76)</f>
        <v/>
      </c>
      <c r="K76" s="21">
        <f>SUMPRODUCT((B$3:B76=B76)*(C$3:C76=C76)*(D$3:D76=D76)*F$3:F76)</f>
        <v/>
      </c>
      <c r="L76" s="22">
        <f>IF(J76=0,0,K76/J76)</f>
        <v/>
      </c>
    </row>
    <row r="77">
      <c r="A77" s="37" t="inlineStr">
        <is>
          <t>Février</t>
        </is>
      </c>
      <c r="B77" s="37" t="n">
        <v>2</v>
      </c>
      <c r="C77" s="37" t="inlineStr">
        <is>
          <t>Administration</t>
        </is>
      </c>
      <c r="D77" s="37" t="inlineStr">
        <is>
          <t>Loyer &amp; Charges</t>
        </is>
      </c>
      <c r="E77" s="38" t="n">
        <v>18000</v>
      </c>
      <c r="F77" s="38" t="n">
        <v>16536</v>
      </c>
      <c r="G77" s="39">
        <f>F77-E77</f>
        <v/>
      </c>
      <c r="H77" s="40">
        <f>IF(E77=0,0,(F77-E77)/E77)</f>
        <v/>
      </c>
      <c r="I77" s="41">
        <f>IF(H77&gt;0.1,"⚠️ Dépassement",IF(H77&lt;-0.1,"✅ Économie","🔵 Normal"))</f>
        <v/>
      </c>
      <c r="J77" s="38">
        <f>SUMPRODUCT((B$3:B77=B77)*(C$3:C77=C77)*(D$3:D77=D77)*E$3:E77)</f>
        <v/>
      </c>
      <c r="K77" s="38">
        <f>SUMPRODUCT((B$3:B77=B77)*(C$3:C77=C77)*(D$3:D77=D77)*F$3:F77)</f>
        <v/>
      </c>
      <c r="L77" s="42">
        <f>IF(J77=0,0,K77/J77)</f>
        <v/>
      </c>
    </row>
    <row r="78">
      <c r="A78" s="23" t="inlineStr">
        <is>
          <t>Février</t>
        </is>
      </c>
      <c r="B78" s="23" t="n">
        <v>2</v>
      </c>
      <c r="C78" s="23" t="inlineStr">
        <is>
          <t>Administration</t>
        </is>
      </c>
      <c r="D78" s="23" t="inlineStr">
        <is>
          <t>Matières &amp; Fournitures</t>
        </is>
      </c>
      <c r="E78" s="21" t="n">
        <v>12000</v>
      </c>
      <c r="F78" s="21" t="n">
        <v>12535</v>
      </c>
      <c r="G78" s="39">
        <f>F78-E78</f>
        <v/>
      </c>
      <c r="H78" s="40">
        <f>IF(E78=0,0,(F78-E78)/E78)</f>
        <v/>
      </c>
      <c r="I78" s="41">
        <f>IF(H78&gt;0.1,"⚠️ Dépassement",IF(H78&lt;-0.1,"✅ Économie","🔵 Normal"))</f>
        <v/>
      </c>
      <c r="J78" s="21">
        <f>SUMPRODUCT((B$3:B78=B78)*(C$3:C78=C78)*(D$3:D78=D78)*E$3:E78)</f>
        <v/>
      </c>
      <c r="K78" s="21">
        <f>SUMPRODUCT((B$3:B78=B78)*(C$3:C78=C78)*(D$3:D78=D78)*F$3:F78)</f>
        <v/>
      </c>
      <c r="L78" s="22">
        <f>IF(J78=0,0,K78/J78)</f>
        <v/>
      </c>
    </row>
    <row r="79">
      <c r="A79" s="37" t="inlineStr">
        <is>
          <t>Février</t>
        </is>
      </c>
      <c r="B79" s="37" t="n">
        <v>2</v>
      </c>
      <c r="C79" s="37" t="inlineStr">
        <is>
          <t>Administration</t>
        </is>
      </c>
      <c r="D79" s="37" t="inlineStr">
        <is>
          <t>Informatique &amp; Licences</t>
        </is>
      </c>
      <c r="E79" s="38" t="n">
        <v>6000</v>
      </c>
      <c r="F79" s="38" t="n">
        <v>5551</v>
      </c>
      <c r="G79" s="39">
        <f>F79-E79</f>
        <v/>
      </c>
      <c r="H79" s="40">
        <f>IF(E79=0,0,(F79-E79)/E79)</f>
        <v/>
      </c>
      <c r="I79" s="41">
        <f>IF(H79&gt;0.1,"⚠️ Dépassement",IF(H79&lt;-0.1,"✅ Économie","🔵 Normal"))</f>
        <v/>
      </c>
      <c r="J79" s="38">
        <f>SUMPRODUCT((B$3:B79=B79)*(C$3:C79=C79)*(D$3:D79=D79)*E$3:E79)</f>
        <v/>
      </c>
      <c r="K79" s="38">
        <f>SUMPRODUCT((B$3:B79=B79)*(C$3:C79=C79)*(D$3:D79=D79)*F$3:F79)</f>
        <v/>
      </c>
      <c r="L79" s="42">
        <f>IF(J79=0,0,K79/J79)</f>
        <v/>
      </c>
    </row>
    <row r="80">
      <c r="A80" s="23" t="inlineStr">
        <is>
          <t>Février</t>
        </is>
      </c>
      <c r="B80" s="23" t="n">
        <v>2</v>
      </c>
      <c r="C80" s="23" t="inlineStr">
        <is>
          <t>Administration</t>
        </is>
      </c>
      <c r="D80" s="23" t="inlineStr">
        <is>
          <t>Déplacements &amp; Missions</t>
        </is>
      </c>
      <c r="E80" s="21" t="n">
        <v>9000</v>
      </c>
      <c r="F80" s="21" t="n">
        <v>9485</v>
      </c>
      <c r="G80" s="39">
        <f>F80-E80</f>
        <v/>
      </c>
      <c r="H80" s="40">
        <f>IF(E80=0,0,(F80-E80)/E80)</f>
        <v/>
      </c>
      <c r="I80" s="41">
        <f>IF(H80&gt;0.1,"⚠️ Dépassement",IF(H80&lt;-0.1,"✅ Économie","🔵 Normal"))</f>
        <v/>
      </c>
      <c r="J80" s="21">
        <f>SUMPRODUCT((B$3:B80=B80)*(C$3:C80=C80)*(D$3:D80=D80)*E$3:E80)</f>
        <v/>
      </c>
      <c r="K80" s="21">
        <f>SUMPRODUCT((B$3:B80=B80)*(C$3:C80=C80)*(D$3:D80=D80)*F$3:F80)</f>
        <v/>
      </c>
      <c r="L80" s="22">
        <f>IF(J80=0,0,K80/J80)</f>
        <v/>
      </c>
    </row>
    <row r="81">
      <c r="A81" s="37" t="inlineStr">
        <is>
          <t>Février</t>
        </is>
      </c>
      <c r="B81" s="37" t="n">
        <v>2</v>
      </c>
      <c r="C81" s="37" t="inlineStr">
        <is>
          <t>Administration</t>
        </is>
      </c>
      <c r="D81" s="37" t="inlineStr">
        <is>
          <t>Formation</t>
        </is>
      </c>
      <c r="E81" s="38" t="n">
        <v>5000</v>
      </c>
      <c r="F81" s="38" t="n">
        <v>5896</v>
      </c>
      <c r="G81" s="39">
        <f>F81-E81</f>
        <v/>
      </c>
      <c r="H81" s="40">
        <f>IF(E81=0,0,(F81-E81)/E81)</f>
        <v/>
      </c>
      <c r="I81" s="41">
        <f>IF(H81&gt;0.1,"⚠️ Dépassement",IF(H81&lt;-0.1,"✅ Économie","🔵 Normal"))</f>
        <v/>
      </c>
      <c r="J81" s="38">
        <f>SUMPRODUCT((B$3:B81=B81)*(C$3:C81=C81)*(D$3:D81=D81)*E$3:E81)</f>
        <v/>
      </c>
      <c r="K81" s="38">
        <f>SUMPRODUCT((B$3:B81=B81)*(C$3:C81=C81)*(D$3:D81=D81)*F$3:F81)</f>
        <v/>
      </c>
      <c r="L81" s="42">
        <f>IF(J81=0,0,K81/J81)</f>
        <v/>
      </c>
    </row>
    <row r="82">
      <c r="A82" s="23" t="inlineStr">
        <is>
          <t>Février</t>
        </is>
      </c>
      <c r="B82" s="23" t="n">
        <v>2</v>
      </c>
      <c r="C82" s="23" t="inlineStr">
        <is>
          <t>Administration</t>
        </is>
      </c>
      <c r="D82" s="23" t="inlineStr">
        <is>
          <t>Publicité &amp; Communication</t>
        </is>
      </c>
      <c r="E82" s="21" t="n">
        <v>2000</v>
      </c>
      <c r="F82" s="21" t="n">
        <v>1960</v>
      </c>
      <c r="G82" s="39">
        <f>F82-E82</f>
        <v/>
      </c>
      <c r="H82" s="40">
        <f>IF(E82=0,0,(F82-E82)/E82)</f>
        <v/>
      </c>
      <c r="I82" s="41">
        <f>IF(H82&gt;0.1,"⚠️ Dépassement",IF(H82&lt;-0.1,"✅ Économie","🔵 Normal"))</f>
        <v/>
      </c>
      <c r="J82" s="21">
        <f>SUMPRODUCT((B$3:B82=B82)*(C$3:C82=C82)*(D$3:D82=D82)*E$3:E82)</f>
        <v/>
      </c>
      <c r="K82" s="21">
        <f>SUMPRODUCT((B$3:B82=B82)*(C$3:C82=C82)*(D$3:D82=D82)*F$3:F82)</f>
        <v/>
      </c>
      <c r="L82" s="22">
        <f>IF(J82=0,0,K82/J82)</f>
        <v/>
      </c>
    </row>
    <row r="83">
      <c r="A83" s="37" t="inlineStr">
        <is>
          <t>Mars</t>
        </is>
      </c>
      <c r="B83" s="37" t="n">
        <v>3</v>
      </c>
      <c r="C83" s="37" t="inlineStr">
        <is>
          <t>RH</t>
        </is>
      </c>
      <c r="D83" s="37" t="inlineStr">
        <is>
          <t>Salaires</t>
        </is>
      </c>
      <c r="E83" s="38" t="n">
        <v>180000</v>
      </c>
      <c r="F83" s="38" t="n">
        <v>163391</v>
      </c>
      <c r="G83" s="39">
        <f>F83-E83</f>
        <v/>
      </c>
      <c r="H83" s="40">
        <f>IF(E83=0,0,(F83-E83)/E83)</f>
        <v/>
      </c>
      <c r="I83" s="41">
        <f>IF(H83&gt;0.1,"⚠️ Dépassement",IF(H83&lt;-0.1,"✅ Économie","🔵 Normal"))</f>
        <v/>
      </c>
      <c r="J83" s="38">
        <f>SUMPRODUCT((B$3:B83=B83)*(C$3:C83=C83)*(D$3:D83=D83)*E$3:E83)</f>
        <v/>
      </c>
      <c r="K83" s="38">
        <f>SUMPRODUCT((B$3:B83=B83)*(C$3:C83=C83)*(D$3:D83=D83)*F$3:F83)</f>
        <v/>
      </c>
      <c r="L83" s="42">
        <f>IF(J83=0,0,K83/J83)</f>
        <v/>
      </c>
    </row>
    <row r="84">
      <c r="A84" s="23" t="inlineStr">
        <is>
          <t>Mars</t>
        </is>
      </c>
      <c r="B84" s="23" t="n">
        <v>3</v>
      </c>
      <c r="C84" s="23" t="inlineStr">
        <is>
          <t>RH</t>
        </is>
      </c>
      <c r="D84" s="23" t="inlineStr">
        <is>
          <t>Charges sociales</t>
        </is>
      </c>
      <c r="E84" s="21" t="n">
        <v>54000</v>
      </c>
      <c r="F84" s="21" t="n">
        <v>65827</v>
      </c>
      <c r="G84" s="39">
        <f>F84-E84</f>
        <v/>
      </c>
      <c r="H84" s="40">
        <f>IF(E84=0,0,(F84-E84)/E84)</f>
        <v/>
      </c>
      <c r="I84" s="41">
        <f>IF(H84&gt;0.1,"⚠️ Dépassement",IF(H84&lt;-0.1,"✅ Économie","🔵 Normal"))</f>
        <v/>
      </c>
      <c r="J84" s="21">
        <f>SUMPRODUCT((B$3:B84=B84)*(C$3:C84=C84)*(D$3:D84=D84)*E$3:E84)</f>
        <v/>
      </c>
      <c r="K84" s="21">
        <f>SUMPRODUCT((B$3:B84=B84)*(C$3:C84=C84)*(D$3:D84=D84)*F$3:F84)</f>
        <v/>
      </c>
      <c r="L84" s="22">
        <f>IF(J84=0,0,K84/J84)</f>
        <v/>
      </c>
    </row>
    <row r="85">
      <c r="A85" s="37" t="inlineStr">
        <is>
          <t>Mars</t>
        </is>
      </c>
      <c r="B85" s="37" t="n">
        <v>3</v>
      </c>
      <c r="C85" s="37" t="inlineStr">
        <is>
          <t>RH</t>
        </is>
      </c>
      <c r="D85" s="37" t="inlineStr">
        <is>
          <t>Loyer &amp; Charges</t>
        </is>
      </c>
      <c r="E85" s="38" t="n">
        <v>15000</v>
      </c>
      <c r="F85" s="38" t="n">
        <v>15357</v>
      </c>
      <c r="G85" s="39">
        <f>F85-E85</f>
        <v/>
      </c>
      <c r="H85" s="40">
        <f>IF(E85=0,0,(F85-E85)/E85)</f>
        <v/>
      </c>
      <c r="I85" s="41">
        <f>IF(H85&gt;0.1,"⚠️ Dépassement",IF(H85&lt;-0.1,"✅ Économie","🔵 Normal"))</f>
        <v/>
      </c>
      <c r="J85" s="38">
        <f>SUMPRODUCT((B$3:B85=B85)*(C$3:C85=C85)*(D$3:D85=D85)*E$3:E85)</f>
        <v/>
      </c>
      <c r="K85" s="38">
        <f>SUMPRODUCT((B$3:B85=B85)*(C$3:C85=C85)*(D$3:D85=D85)*F$3:F85)</f>
        <v/>
      </c>
      <c r="L85" s="42">
        <f>IF(J85=0,0,K85/J85)</f>
        <v/>
      </c>
    </row>
    <row r="86">
      <c r="A86" s="23" t="inlineStr">
        <is>
          <t>Mars</t>
        </is>
      </c>
      <c r="B86" s="23" t="n">
        <v>3</v>
      </c>
      <c r="C86" s="23" t="inlineStr">
        <is>
          <t>RH</t>
        </is>
      </c>
      <c r="D86" s="23" t="inlineStr">
        <is>
          <t>Matières &amp; Fournitures</t>
        </is>
      </c>
      <c r="E86" s="21" t="n">
        <v>8000</v>
      </c>
      <c r="F86" s="21" t="n">
        <v>6851</v>
      </c>
      <c r="G86" s="39">
        <f>F86-E86</f>
        <v/>
      </c>
      <c r="H86" s="40">
        <f>IF(E86=0,0,(F86-E86)/E86)</f>
        <v/>
      </c>
      <c r="I86" s="41">
        <f>IF(H86&gt;0.1,"⚠️ Dépassement",IF(H86&lt;-0.1,"✅ Économie","🔵 Normal"))</f>
        <v/>
      </c>
      <c r="J86" s="21">
        <f>SUMPRODUCT((B$3:B86=B86)*(C$3:C86=C86)*(D$3:D86=D86)*E$3:E86)</f>
        <v/>
      </c>
      <c r="K86" s="21">
        <f>SUMPRODUCT((B$3:B86=B86)*(C$3:C86=C86)*(D$3:D86=D86)*F$3:F86)</f>
        <v/>
      </c>
      <c r="L86" s="22">
        <f>IF(J86=0,0,K86/J86)</f>
        <v/>
      </c>
    </row>
    <row r="87">
      <c r="A87" s="37" t="inlineStr">
        <is>
          <t>Mars</t>
        </is>
      </c>
      <c r="B87" s="37" t="n">
        <v>3</v>
      </c>
      <c r="C87" s="37" t="inlineStr">
        <is>
          <t>RH</t>
        </is>
      </c>
      <c r="D87" s="37" t="inlineStr">
        <is>
          <t>Informatique &amp; Licences</t>
        </is>
      </c>
      <c r="E87" s="38" t="n">
        <v>5000</v>
      </c>
      <c r="F87" s="38" t="n">
        <v>4194</v>
      </c>
      <c r="G87" s="39">
        <f>F87-E87</f>
        <v/>
      </c>
      <c r="H87" s="40">
        <f>IF(E87=0,0,(F87-E87)/E87)</f>
        <v/>
      </c>
      <c r="I87" s="41">
        <f>IF(H87&gt;0.1,"⚠️ Dépassement",IF(H87&lt;-0.1,"✅ Économie","🔵 Normal"))</f>
        <v/>
      </c>
      <c r="J87" s="38">
        <f>SUMPRODUCT((B$3:B87=B87)*(C$3:C87=C87)*(D$3:D87=D87)*E$3:E87)</f>
        <v/>
      </c>
      <c r="K87" s="38">
        <f>SUMPRODUCT((B$3:B87=B87)*(C$3:C87=C87)*(D$3:D87=D87)*F$3:F87)</f>
        <v/>
      </c>
      <c r="L87" s="42">
        <f>IF(J87=0,0,K87/J87)</f>
        <v/>
      </c>
    </row>
    <row r="88">
      <c r="A88" s="23" t="inlineStr">
        <is>
          <t>Mars</t>
        </is>
      </c>
      <c r="B88" s="23" t="n">
        <v>3</v>
      </c>
      <c r="C88" s="23" t="inlineStr">
        <is>
          <t>RH</t>
        </is>
      </c>
      <c r="D88" s="23" t="inlineStr">
        <is>
          <t>Déplacements &amp; Missions</t>
        </is>
      </c>
      <c r="E88" s="21" t="n">
        <v>7000</v>
      </c>
      <c r="F88" s="21" t="n">
        <v>6047</v>
      </c>
      <c r="G88" s="39">
        <f>F88-E88</f>
        <v/>
      </c>
      <c r="H88" s="40">
        <f>IF(E88=0,0,(F88-E88)/E88)</f>
        <v/>
      </c>
      <c r="I88" s="41">
        <f>IF(H88&gt;0.1,"⚠️ Dépassement",IF(H88&lt;-0.1,"✅ Économie","🔵 Normal"))</f>
        <v/>
      </c>
      <c r="J88" s="21">
        <f>SUMPRODUCT((B$3:B88=B88)*(C$3:C88=C88)*(D$3:D88=D88)*E$3:E88)</f>
        <v/>
      </c>
      <c r="K88" s="21">
        <f>SUMPRODUCT((B$3:B88=B88)*(C$3:C88=C88)*(D$3:D88=D88)*F$3:F88)</f>
        <v/>
      </c>
      <c r="L88" s="22">
        <f>IF(J88=0,0,K88/J88)</f>
        <v/>
      </c>
    </row>
    <row r="89">
      <c r="A89" s="37" t="inlineStr">
        <is>
          <t>Mars</t>
        </is>
      </c>
      <c r="B89" s="37" t="n">
        <v>3</v>
      </c>
      <c r="C89" s="37" t="inlineStr">
        <is>
          <t>RH</t>
        </is>
      </c>
      <c r="D89" s="37" t="inlineStr">
        <is>
          <t>Formation</t>
        </is>
      </c>
      <c r="E89" s="38" t="n">
        <v>20000</v>
      </c>
      <c r="F89" s="38" t="n">
        <v>21420</v>
      </c>
      <c r="G89" s="39">
        <f>F89-E89</f>
        <v/>
      </c>
      <c r="H89" s="40">
        <f>IF(E89=0,0,(F89-E89)/E89)</f>
        <v/>
      </c>
      <c r="I89" s="41">
        <f>IF(H89&gt;0.1,"⚠️ Dépassement",IF(H89&lt;-0.1,"✅ Économie","🔵 Normal"))</f>
        <v/>
      </c>
      <c r="J89" s="38">
        <f>SUMPRODUCT((B$3:B89=B89)*(C$3:C89=C89)*(D$3:D89=D89)*E$3:E89)</f>
        <v/>
      </c>
      <c r="K89" s="38">
        <f>SUMPRODUCT((B$3:B89=B89)*(C$3:C89=C89)*(D$3:D89=D89)*F$3:F89)</f>
        <v/>
      </c>
      <c r="L89" s="42">
        <f>IF(J89=0,0,K89/J89)</f>
        <v/>
      </c>
    </row>
    <row r="90">
      <c r="A90" s="23" t="inlineStr">
        <is>
          <t>Mars</t>
        </is>
      </c>
      <c r="B90" s="23" t="n">
        <v>3</v>
      </c>
      <c r="C90" s="23" t="inlineStr">
        <is>
          <t>RH</t>
        </is>
      </c>
      <c r="D90" s="23" t="inlineStr">
        <is>
          <t>Publicité &amp; Communication</t>
        </is>
      </c>
      <c r="E90" s="21" t="n">
        <v>3000</v>
      </c>
      <c r="F90" s="21" t="n">
        <v>3410</v>
      </c>
      <c r="G90" s="39">
        <f>F90-E90</f>
        <v/>
      </c>
      <c r="H90" s="40">
        <f>IF(E90=0,0,(F90-E90)/E90)</f>
        <v/>
      </c>
      <c r="I90" s="41">
        <f>IF(H90&gt;0.1,"⚠️ Dépassement",IF(H90&lt;-0.1,"✅ Économie","🔵 Normal"))</f>
        <v/>
      </c>
      <c r="J90" s="21">
        <f>SUMPRODUCT((B$3:B90=B90)*(C$3:C90=C90)*(D$3:D90=D90)*E$3:E90)</f>
        <v/>
      </c>
      <c r="K90" s="21">
        <f>SUMPRODUCT((B$3:B90=B90)*(C$3:C90=C90)*(D$3:D90=D90)*F$3:F90)</f>
        <v/>
      </c>
      <c r="L90" s="22">
        <f>IF(J90=0,0,K90/J90)</f>
        <v/>
      </c>
    </row>
    <row r="91">
      <c r="A91" s="37" t="inlineStr">
        <is>
          <t>Mars</t>
        </is>
      </c>
      <c r="B91" s="37" t="n">
        <v>3</v>
      </c>
      <c r="C91" s="37" t="inlineStr">
        <is>
          <t>Marketing</t>
        </is>
      </c>
      <c r="D91" s="37" t="inlineStr">
        <is>
          <t>Salaires</t>
        </is>
      </c>
      <c r="E91" s="38" t="n">
        <v>95000</v>
      </c>
      <c r="F91" s="38" t="n">
        <v>93942</v>
      </c>
      <c r="G91" s="39">
        <f>F91-E91</f>
        <v/>
      </c>
      <c r="H91" s="40">
        <f>IF(E91=0,0,(F91-E91)/E91)</f>
        <v/>
      </c>
      <c r="I91" s="41">
        <f>IF(H91&gt;0.1,"⚠️ Dépassement",IF(H91&lt;-0.1,"✅ Économie","🔵 Normal"))</f>
        <v/>
      </c>
      <c r="J91" s="38">
        <f>SUMPRODUCT((B$3:B91=B91)*(C$3:C91=C91)*(D$3:D91=D91)*E$3:E91)</f>
        <v/>
      </c>
      <c r="K91" s="38">
        <f>SUMPRODUCT((B$3:B91=B91)*(C$3:C91=C91)*(D$3:D91=D91)*F$3:F91)</f>
        <v/>
      </c>
      <c r="L91" s="42">
        <f>IF(J91=0,0,K91/J91)</f>
        <v/>
      </c>
    </row>
    <row r="92">
      <c r="A92" s="23" t="inlineStr">
        <is>
          <t>Mars</t>
        </is>
      </c>
      <c r="B92" s="23" t="n">
        <v>3</v>
      </c>
      <c r="C92" s="23" t="inlineStr">
        <is>
          <t>Marketing</t>
        </is>
      </c>
      <c r="D92" s="23" t="inlineStr">
        <is>
          <t>Charges sociales</t>
        </is>
      </c>
      <c r="E92" s="21" t="n">
        <v>28500</v>
      </c>
      <c r="F92" s="21" t="n">
        <v>24094</v>
      </c>
      <c r="G92" s="39">
        <f>F92-E92</f>
        <v/>
      </c>
      <c r="H92" s="40">
        <f>IF(E92=0,0,(F92-E92)/E92)</f>
        <v/>
      </c>
      <c r="I92" s="41">
        <f>IF(H92&gt;0.1,"⚠️ Dépassement",IF(H92&lt;-0.1,"✅ Économie","🔵 Normal"))</f>
        <v/>
      </c>
      <c r="J92" s="21">
        <f>SUMPRODUCT((B$3:B92=B92)*(C$3:C92=C92)*(D$3:D92=D92)*E$3:E92)</f>
        <v/>
      </c>
      <c r="K92" s="21">
        <f>SUMPRODUCT((B$3:B92=B92)*(C$3:C92=C92)*(D$3:D92=D92)*F$3:F92)</f>
        <v/>
      </c>
      <c r="L92" s="22">
        <f>IF(J92=0,0,K92/J92)</f>
        <v/>
      </c>
    </row>
    <row r="93">
      <c r="A93" s="37" t="inlineStr">
        <is>
          <t>Mars</t>
        </is>
      </c>
      <c r="B93" s="37" t="n">
        <v>3</v>
      </c>
      <c r="C93" s="37" t="inlineStr">
        <is>
          <t>Marketing</t>
        </is>
      </c>
      <c r="D93" s="37" t="inlineStr">
        <is>
          <t>Loyer &amp; Charges</t>
        </is>
      </c>
      <c r="E93" s="38" t="n">
        <v>12000</v>
      </c>
      <c r="F93" s="38" t="n">
        <v>11672</v>
      </c>
      <c r="G93" s="39">
        <f>F93-E93</f>
        <v/>
      </c>
      <c r="H93" s="40">
        <f>IF(E93=0,0,(F93-E93)/E93)</f>
        <v/>
      </c>
      <c r="I93" s="41">
        <f>IF(H93&gt;0.1,"⚠️ Dépassement",IF(H93&lt;-0.1,"✅ Économie","🔵 Normal"))</f>
        <v/>
      </c>
      <c r="J93" s="38">
        <f>SUMPRODUCT((B$3:B93=B93)*(C$3:C93=C93)*(D$3:D93=D93)*E$3:E93)</f>
        <v/>
      </c>
      <c r="K93" s="38">
        <f>SUMPRODUCT((B$3:B93=B93)*(C$3:C93=C93)*(D$3:D93=D93)*F$3:F93)</f>
        <v/>
      </c>
      <c r="L93" s="42">
        <f>IF(J93=0,0,K93/J93)</f>
        <v/>
      </c>
    </row>
    <row r="94">
      <c r="A94" s="23" t="inlineStr">
        <is>
          <t>Mars</t>
        </is>
      </c>
      <c r="B94" s="23" t="n">
        <v>3</v>
      </c>
      <c r="C94" s="23" t="inlineStr">
        <is>
          <t>Marketing</t>
        </is>
      </c>
      <c r="D94" s="23" t="inlineStr">
        <is>
          <t>Matières &amp; Fournitures</t>
        </is>
      </c>
      <c r="E94" s="21" t="n">
        <v>6000</v>
      </c>
      <c r="F94" s="21" t="n">
        <v>7311</v>
      </c>
      <c r="G94" s="39">
        <f>F94-E94</f>
        <v/>
      </c>
      <c r="H94" s="40">
        <f>IF(E94=0,0,(F94-E94)/E94)</f>
        <v/>
      </c>
      <c r="I94" s="41">
        <f>IF(H94&gt;0.1,"⚠️ Dépassement",IF(H94&lt;-0.1,"✅ Économie","🔵 Normal"))</f>
        <v/>
      </c>
      <c r="J94" s="21">
        <f>SUMPRODUCT((B$3:B94=B94)*(C$3:C94=C94)*(D$3:D94=D94)*E$3:E94)</f>
        <v/>
      </c>
      <c r="K94" s="21">
        <f>SUMPRODUCT((B$3:B94=B94)*(C$3:C94=C94)*(D$3:D94=D94)*F$3:F94)</f>
        <v/>
      </c>
      <c r="L94" s="22">
        <f>IF(J94=0,0,K94/J94)</f>
        <v/>
      </c>
    </row>
    <row r="95">
      <c r="A95" s="37" t="inlineStr">
        <is>
          <t>Mars</t>
        </is>
      </c>
      <c r="B95" s="37" t="n">
        <v>3</v>
      </c>
      <c r="C95" s="37" t="inlineStr">
        <is>
          <t>Marketing</t>
        </is>
      </c>
      <c r="D95" s="37" t="inlineStr">
        <is>
          <t>Informatique &amp; Licences</t>
        </is>
      </c>
      <c r="E95" s="38" t="n">
        <v>8000</v>
      </c>
      <c r="F95" s="38" t="n">
        <v>8253</v>
      </c>
      <c r="G95" s="39">
        <f>F95-E95</f>
        <v/>
      </c>
      <c r="H95" s="40">
        <f>IF(E95=0,0,(F95-E95)/E95)</f>
        <v/>
      </c>
      <c r="I95" s="41">
        <f>IF(H95&gt;0.1,"⚠️ Dépassement",IF(H95&lt;-0.1,"✅ Économie","🔵 Normal"))</f>
        <v/>
      </c>
      <c r="J95" s="38">
        <f>SUMPRODUCT((B$3:B95=B95)*(C$3:C95=C95)*(D$3:D95=D95)*E$3:E95)</f>
        <v/>
      </c>
      <c r="K95" s="38">
        <f>SUMPRODUCT((B$3:B95=B95)*(C$3:C95=C95)*(D$3:D95=D95)*F$3:F95)</f>
        <v/>
      </c>
      <c r="L95" s="42">
        <f>IF(J95=0,0,K95/J95)</f>
        <v/>
      </c>
    </row>
    <row r="96">
      <c r="A96" s="23" t="inlineStr">
        <is>
          <t>Mars</t>
        </is>
      </c>
      <c r="B96" s="23" t="n">
        <v>3</v>
      </c>
      <c r="C96" s="23" t="inlineStr">
        <is>
          <t>Marketing</t>
        </is>
      </c>
      <c r="D96" s="23" t="inlineStr">
        <is>
          <t>Déplacements &amp; Missions</t>
        </is>
      </c>
      <c r="E96" s="21" t="n">
        <v>15000</v>
      </c>
      <c r="F96" s="21" t="n">
        <v>18126</v>
      </c>
      <c r="G96" s="39">
        <f>F96-E96</f>
        <v/>
      </c>
      <c r="H96" s="40">
        <f>IF(E96=0,0,(F96-E96)/E96)</f>
        <v/>
      </c>
      <c r="I96" s="41">
        <f>IF(H96&gt;0.1,"⚠️ Dépassement",IF(H96&lt;-0.1,"✅ Économie","🔵 Normal"))</f>
        <v/>
      </c>
      <c r="J96" s="21">
        <f>SUMPRODUCT((B$3:B96=B96)*(C$3:C96=C96)*(D$3:D96=D96)*E$3:E96)</f>
        <v/>
      </c>
      <c r="K96" s="21">
        <f>SUMPRODUCT((B$3:B96=B96)*(C$3:C96=C96)*(D$3:D96=D96)*F$3:F96)</f>
        <v/>
      </c>
      <c r="L96" s="22">
        <f>IF(J96=0,0,K96/J96)</f>
        <v/>
      </c>
    </row>
    <row r="97">
      <c r="A97" s="37" t="inlineStr">
        <is>
          <t>Mars</t>
        </is>
      </c>
      <c r="B97" s="37" t="n">
        <v>3</v>
      </c>
      <c r="C97" s="37" t="inlineStr">
        <is>
          <t>Marketing</t>
        </is>
      </c>
      <c r="D97" s="37" t="inlineStr">
        <is>
          <t>Formation</t>
        </is>
      </c>
      <c r="E97" s="38" t="n">
        <v>8000</v>
      </c>
      <c r="F97" s="38" t="n">
        <v>9314</v>
      </c>
      <c r="G97" s="39">
        <f>F97-E97</f>
        <v/>
      </c>
      <c r="H97" s="40">
        <f>IF(E97=0,0,(F97-E97)/E97)</f>
        <v/>
      </c>
      <c r="I97" s="41">
        <f>IF(H97&gt;0.1,"⚠️ Dépassement",IF(H97&lt;-0.1,"✅ Économie","🔵 Normal"))</f>
        <v/>
      </c>
      <c r="J97" s="38">
        <f>SUMPRODUCT((B$3:B97=B97)*(C$3:C97=C97)*(D$3:D97=D97)*E$3:E97)</f>
        <v/>
      </c>
      <c r="K97" s="38">
        <f>SUMPRODUCT((B$3:B97=B97)*(C$3:C97=C97)*(D$3:D97=D97)*F$3:F97)</f>
        <v/>
      </c>
      <c r="L97" s="42">
        <f>IF(J97=0,0,K97/J97)</f>
        <v/>
      </c>
    </row>
    <row r="98">
      <c r="A98" s="23" t="inlineStr">
        <is>
          <t>Mars</t>
        </is>
      </c>
      <c r="B98" s="23" t="n">
        <v>3</v>
      </c>
      <c r="C98" s="23" t="inlineStr">
        <is>
          <t>Marketing</t>
        </is>
      </c>
      <c r="D98" s="23" t="inlineStr">
        <is>
          <t>Publicité &amp; Communication</t>
        </is>
      </c>
      <c r="E98" s="21" t="n">
        <v>45000</v>
      </c>
      <c r="F98" s="21" t="n">
        <v>37107</v>
      </c>
      <c r="G98" s="39">
        <f>F98-E98</f>
        <v/>
      </c>
      <c r="H98" s="40">
        <f>IF(E98=0,0,(F98-E98)/E98)</f>
        <v/>
      </c>
      <c r="I98" s="41">
        <f>IF(H98&gt;0.1,"⚠️ Dépassement",IF(H98&lt;-0.1,"✅ Économie","🔵 Normal"))</f>
        <v/>
      </c>
      <c r="J98" s="21">
        <f>SUMPRODUCT((B$3:B98=B98)*(C$3:C98=C98)*(D$3:D98=D98)*E$3:E98)</f>
        <v/>
      </c>
      <c r="K98" s="21">
        <f>SUMPRODUCT((B$3:B98=B98)*(C$3:C98=C98)*(D$3:D98=D98)*F$3:F98)</f>
        <v/>
      </c>
      <c r="L98" s="22">
        <f>IF(J98=0,0,K98/J98)</f>
        <v/>
      </c>
    </row>
    <row r="99">
      <c r="A99" s="37" t="inlineStr">
        <is>
          <t>Mars</t>
        </is>
      </c>
      <c r="B99" s="37" t="n">
        <v>3</v>
      </c>
      <c r="C99" s="37" t="inlineStr">
        <is>
          <t>Production</t>
        </is>
      </c>
      <c r="D99" s="37" t="inlineStr">
        <is>
          <t>Salaires</t>
        </is>
      </c>
      <c r="E99" s="38" t="n">
        <v>220000</v>
      </c>
      <c r="F99" s="38" t="n">
        <v>243824</v>
      </c>
      <c r="G99" s="39">
        <f>F99-E99</f>
        <v/>
      </c>
      <c r="H99" s="40">
        <f>IF(E99=0,0,(F99-E99)/E99)</f>
        <v/>
      </c>
      <c r="I99" s="41">
        <f>IF(H99&gt;0.1,"⚠️ Dépassement",IF(H99&lt;-0.1,"✅ Économie","🔵 Normal"))</f>
        <v/>
      </c>
      <c r="J99" s="38">
        <f>SUMPRODUCT((B$3:B99=B99)*(C$3:C99=C99)*(D$3:D99=D99)*E$3:E99)</f>
        <v/>
      </c>
      <c r="K99" s="38">
        <f>SUMPRODUCT((B$3:B99=B99)*(C$3:C99=C99)*(D$3:D99=D99)*F$3:F99)</f>
        <v/>
      </c>
      <c r="L99" s="42">
        <f>IF(J99=0,0,K99/J99)</f>
        <v/>
      </c>
    </row>
    <row r="100">
      <c r="A100" s="23" t="inlineStr">
        <is>
          <t>Mars</t>
        </is>
      </c>
      <c r="B100" s="23" t="n">
        <v>3</v>
      </c>
      <c r="C100" s="23" t="inlineStr">
        <is>
          <t>Production</t>
        </is>
      </c>
      <c r="D100" s="23" t="inlineStr">
        <is>
          <t>Charges sociales</t>
        </is>
      </c>
      <c r="E100" s="21" t="n">
        <v>66000</v>
      </c>
      <c r="F100" s="21" t="n">
        <v>72117</v>
      </c>
      <c r="G100" s="39">
        <f>F100-E100</f>
        <v/>
      </c>
      <c r="H100" s="40">
        <f>IF(E100=0,0,(F100-E100)/E100)</f>
        <v/>
      </c>
      <c r="I100" s="41">
        <f>IF(H100&gt;0.1,"⚠️ Dépassement",IF(H100&lt;-0.1,"✅ Économie","🔵 Normal"))</f>
        <v/>
      </c>
      <c r="J100" s="21">
        <f>SUMPRODUCT((B$3:B100=B100)*(C$3:C100=C100)*(D$3:D100=D100)*E$3:E100)</f>
        <v/>
      </c>
      <c r="K100" s="21">
        <f>SUMPRODUCT((B$3:B100=B100)*(C$3:C100=C100)*(D$3:D100=D100)*F$3:F100)</f>
        <v/>
      </c>
      <c r="L100" s="22">
        <f>IF(J100=0,0,K100/J100)</f>
        <v/>
      </c>
    </row>
    <row r="101">
      <c r="A101" s="37" t="inlineStr">
        <is>
          <t>Mars</t>
        </is>
      </c>
      <c r="B101" s="37" t="n">
        <v>3</v>
      </c>
      <c r="C101" s="37" t="inlineStr">
        <is>
          <t>Production</t>
        </is>
      </c>
      <c r="D101" s="37" t="inlineStr">
        <is>
          <t>Loyer &amp; Charges</t>
        </is>
      </c>
      <c r="E101" s="38" t="n">
        <v>35000</v>
      </c>
      <c r="F101" s="38" t="n">
        <v>36218</v>
      </c>
      <c r="G101" s="39">
        <f>F101-E101</f>
        <v/>
      </c>
      <c r="H101" s="40">
        <f>IF(E101=0,0,(F101-E101)/E101)</f>
        <v/>
      </c>
      <c r="I101" s="41">
        <f>IF(H101&gt;0.1,"⚠️ Dépassement",IF(H101&lt;-0.1,"✅ Économie","🔵 Normal"))</f>
        <v/>
      </c>
      <c r="J101" s="38">
        <f>SUMPRODUCT((B$3:B101=B101)*(C$3:C101=C101)*(D$3:D101=D101)*E$3:E101)</f>
        <v/>
      </c>
      <c r="K101" s="38">
        <f>SUMPRODUCT((B$3:B101=B101)*(C$3:C101=C101)*(D$3:D101=D101)*F$3:F101)</f>
        <v/>
      </c>
      <c r="L101" s="42">
        <f>IF(J101=0,0,K101/J101)</f>
        <v/>
      </c>
    </row>
    <row r="102">
      <c r="A102" s="23" t="inlineStr">
        <is>
          <t>Mars</t>
        </is>
      </c>
      <c r="B102" s="23" t="n">
        <v>3</v>
      </c>
      <c r="C102" s="23" t="inlineStr">
        <is>
          <t>Production</t>
        </is>
      </c>
      <c r="D102" s="23" t="inlineStr">
        <is>
          <t>Matières &amp; Fournitures</t>
        </is>
      </c>
      <c r="E102" s="21" t="n">
        <v>85000</v>
      </c>
      <c r="F102" s="21" t="n">
        <v>78772</v>
      </c>
      <c r="G102" s="39">
        <f>F102-E102</f>
        <v/>
      </c>
      <c r="H102" s="40">
        <f>IF(E102=0,0,(F102-E102)/E102)</f>
        <v/>
      </c>
      <c r="I102" s="41">
        <f>IF(H102&gt;0.1,"⚠️ Dépassement",IF(H102&lt;-0.1,"✅ Économie","🔵 Normal"))</f>
        <v/>
      </c>
      <c r="J102" s="21">
        <f>SUMPRODUCT((B$3:B102=B102)*(C$3:C102=C102)*(D$3:D102=D102)*E$3:E102)</f>
        <v/>
      </c>
      <c r="K102" s="21">
        <f>SUMPRODUCT((B$3:B102=B102)*(C$3:C102=C102)*(D$3:D102=D102)*F$3:F102)</f>
        <v/>
      </c>
      <c r="L102" s="22">
        <f>IF(J102=0,0,K102/J102)</f>
        <v/>
      </c>
    </row>
    <row r="103">
      <c r="A103" s="37" t="inlineStr">
        <is>
          <t>Mars</t>
        </is>
      </c>
      <c r="B103" s="37" t="n">
        <v>3</v>
      </c>
      <c r="C103" s="37" t="inlineStr">
        <is>
          <t>Production</t>
        </is>
      </c>
      <c r="D103" s="37" t="inlineStr">
        <is>
          <t>Informatique &amp; Licences</t>
        </is>
      </c>
      <c r="E103" s="38" t="n">
        <v>12000</v>
      </c>
      <c r="F103" s="38" t="n">
        <v>12917</v>
      </c>
      <c r="G103" s="39">
        <f>F103-E103</f>
        <v/>
      </c>
      <c r="H103" s="40">
        <f>IF(E103=0,0,(F103-E103)/E103)</f>
        <v/>
      </c>
      <c r="I103" s="41">
        <f>IF(H103&gt;0.1,"⚠️ Dépassement",IF(H103&lt;-0.1,"✅ Économie","🔵 Normal"))</f>
        <v/>
      </c>
      <c r="J103" s="38">
        <f>SUMPRODUCT((B$3:B103=B103)*(C$3:C103=C103)*(D$3:D103=D103)*E$3:E103)</f>
        <v/>
      </c>
      <c r="K103" s="38">
        <f>SUMPRODUCT((B$3:B103=B103)*(C$3:C103=C103)*(D$3:D103=D103)*F$3:F103)</f>
        <v/>
      </c>
      <c r="L103" s="42">
        <f>IF(J103=0,0,K103/J103)</f>
        <v/>
      </c>
    </row>
    <row r="104">
      <c r="A104" s="23" t="inlineStr">
        <is>
          <t>Mars</t>
        </is>
      </c>
      <c r="B104" s="23" t="n">
        <v>3</v>
      </c>
      <c r="C104" s="23" t="inlineStr">
        <is>
          <t>Production</t>
        </is>
      </c>
      <c r="D104" s="23" t="inlineStr">
        <is>
          <t>Déplacements &amp; Missions</t>
        </is>
      </c>
      <c r="E104" s="21" t="n">
        <v>10000</v>
      </c>
      <c r="F104" s="21" t="n">
        <v>8646</v>
      </c>
      <c r="G104" s="39">
        <f>F104-E104</f>
        <v/>
      </c>
      <c r="H104" s="40">
        <f>IF(E104=0,0,(F104-E104)/E104)</f>
        <v/>
      </c>
      <c r="I104" s="41">
        <f>IF(H104&gt;0.1,"⚠️ Dépassement",IF(H104&lt;-0.1,"✅ Économie","🔵 Normal"))</f>
        <v/>
      </c>
      <c r="J104" s="21">
        <f>SUMPRODUCT((B$3:B104=B104)*(C$3:C104=C104)*(D$3:D104=D104)*E$3:E104)</f>
        <v/>
      </c>
      <c r="K104" s="21">
        <f>SUMPRODUCT((B$3:B104=B104)*(C$3:C104=C104)*(D$3:D104=D104)*F$3:F104)</f>
        <v/>
      </c>
      <c r="L104" s="22">
        <f>IF(J104=0,0,K104/J104)</f>
        <v/>
      </c>
    </row>
    <row r="105">
      <c r="A105" s="37" t="inlineStr">
        <is>
          <t>Mars</t>
        </is>
      </c>
      <c r="B105" s="37" t="n">
        <v>3</v>
      </c>
      <c r="C105" s="37" t="inlineStr">
        <is>
          <t>Production</t>
        </is>
      </c>
      <c r="D105" s="37" t="inlineStr">
        <is>
          <t>Formation</t>
        </is>
      </c>
      <c r="E105" s="38" t="n">
        <v>15000</v>
      </c>
      <c r="F105" s="38" t="n">
        <v>14909</v>
      </c>
      <c r="G105" s="39">
        <f>F105-E105</f>
        <v/>
      </c>
      <c r="H105" s="40">
        <f>IF(E105=0,0,(F105-E105)/E105)</f>
        <v/>
      </c>
      <c r="I105" s="41">
        <f>IF(H105&gt;0.1,"⚠️ Dépassement",IF(H105&lt;-0.1,"✅ Économie","🔵 Normal"))</f>
        <v/>
      </c>
      <c r="J105" s="38">
        <f>SUMPRODUCT((B$3:B105=B105)*(C$3:C105=C105)*(D$3:D105=D105)*E$3:E105)</f>
        <v/>
      </c>
      <c r="K105" s="38">
        <f>SUMPRODUCT((B$3:B105=B105)*(C$3:C105=C105)*(D$3:D105=D105)*F$3:F105)</f>
        <v/>
      </c>
      <c r="L105" s="42">
        <f>IF(J105=0,0,K105/J105)</f>
        <v/>
      </c>
    </row>
    <row r="106">
      <c r="A106" s="23" t="inlineStr">
        <is>
          <t>Mars</t>
        </is>
      </c>
      <c r="B106" s="23" t="n">
        <v>3</v>
      </c>
      <c r="C106" s="23" t="inlineStr">
        <is>
          <t>Production</t>
        </is>
      </c>
      <c r="D106" s="23" t="inlineStr">
        <is>
          <t>Publicité &amp; Communication</t>
        </is>
      </c>
      <c r="E106" s="21" t="n">
        <v>5000</v>
      </c>
      <c r="F106" s="21" t="n">
        <v>5007</v>
      </c>
      <c r="G106" s="39">
        <f>F106-E106</f>
        <v/>
      </c>
      <c r="H106" s="40">
        <f>IF(E106=0,0,(F106-E106)/E106)</f>
        <v/>
      </c>
      <c r="I106" s="41">
        <f>IF(H106&gt;0.1,"⚠️ Dépassement",IF(H106&lt;-0.1,"✅ Économie","🔵 Normal"))</f>
        <v/>
      </c>
      <c r="J106" s="21">
        <f>SUMPRODUCT((B$3:B106=B106)*(C$3:C106=C106)*(D$3:D106=D106)*E$3:E106)</f>
        <v/>
      </c>
      <c r="K106" s="21">
        <f>SUMPRODUCT((B$3:B106=B106)*(C$3:C106=C106)*(D$3:D106=D106)*F$3:F106)</f>
        <v/>
      </c>
      <c r="L106" s="22">
        <f>IF(J106=0,0,K106/J106)</f>
        <v/>
      </c>
    </row>
    <row r="107">
      <c r="A107" s="37" t="inlineStr">
        <is>
          <t>Mars</t>
        </is>
      </c>
      <c r="B107" s="37" t="n">
        <v>3</v>
      </c>
      <c r="C107" s="37" t="inlineStr">
        <is>
          <t>IT</t>
        </is>
      </c>
      <c r="D107" s="37" t="inlineStr">
        <is>
          <t>Salaires</t>
        </is>
      </c>
      <c r="E107" s="38" t="n">
        <v>130000</v>
      </c>
      <c r="F107" s="38" t="n">
        <v>156198</v>
      </c>
      <c r="G107" s="39">
        <f>F107-E107</f>
        <v/>
      </c>
      <c r="H107" s="40">
        <f>IF(E107=0,0,(F107-E107)/E107)</f>
        <v/>
      </c>
      <c r="I107" s="41">
        <f>IF(H107&gt;0.1,"⚠️ Dépassement",IF(H107&lt;-0.1,"✅ Économie","🔵 Normal"))</f>
        <v/>
      </c>
      <c r="J107" s="38">
        <f>SUMPRODUCT((B$3:B107=B107)*(C$3:C107=C107)*(D$3:D107=D107)*E$3:E107)</f>
        <v/>
      </c>
      <c r="K107" s="38">
        <f>SUMPRODUCT((B$3:B107=B107)*(C$3:C107=C107)*(D$3:D107=D107)*F$3:F107)</f>
        <v/>
      </c>
      <c r="L107" s="42">
        <f>IF(J107=0,0,K107/J107)</f>
        <v/>
      </c>
    </row>
    <row r="108">
      <c r="A108" s="23" t="inlineStr">
        <is>
          <t>Mars</t>
        </is>
      </c>
      <c r="B108" s="23" t="n">
        <v>3</v>
      </c>
      <c r="C108" s="23" t="inlineStr">
        <is>
          <t>IT</t>
        </is>
      </c>
      <c r="D108" s="23" t="inlineStr">
        <is>
          <t>Charges sociales</t>
        </is>
      </c>
      <c r="E108" s="21" t="n">
        <v>39000</v>
      </c>
      <c r="F108" s="21" t="n">
        <v>45643</v>
      </c>
      <c r="G108" s="39">
        <f>F108-E108</f>
        <v/>
      </c>
      <c r="H108" s="40">
        <f>IF(E108=0,0,(F108-E108)/E108)</f>
        <v/>
      </c>
      <c r="I108" s="41">
        <f>IF(H108&gt;0.1,"⚠️ Dépassement",IF(H108&lt;-0.1,"✅ Économie","🔵 Normal"))</f>
        <v/>
      </c>
      <c r="J108" s="21">
        <f>SUMPRODUCT((B$3:B108=B108)*(C$3:C108=C108)*(D$3:D108=D108)*E$3:E108)</f>
        <v/>
      </c>
      <c r="K108" s="21">
        <f>SUMPRODUCT((B$3:B108=B108)*(C$3:C108=C108)*(D$3:D108=D108)*F$3:F108)</f>
        <v/>
      </c>
      <c r="L108" s="22">
        <f>IF(J108=0,0,K108/J108)</f>
        <v/>
      </c>
    </row>
    <row r="109">
      <c r="A109" s="37" t="inlineStr">
        <is>
          <t>Mars</t>
        </is>
      </c>
      <c r="B109" s="37" t="n">
        <v>3</v>
      </c>
      <c r="C109" s="37" t="inlineStr">
        <is>
          <t>IT</t>
        </is>
      </c>
      <c r="D109" s="37" t="inlineStr">
        <is>
          <t>Loyer &amp; Charges</t>
        </is>
      </c>
      <c r="E109" s="38" t="n">
        <v>10000</v>
      </c>
      <c r="F109" s="38" t="n">
        <v>9254</v>
      </c>
      <c r="G109" s="39">
        <f>F109-E109</f>
        <v/>
      </c>
      <c r="H109" s="40">
        <f>IF(E109=0,0,(F109-E109)/E109)</f>
        <v/>
      </c>
      <c r="I109" s="41">
        <f>IF(H109&gt;0.1,"⚠️ Dépassement",IF(H109&lt;-0.1,"✅ Économie","🔵 Normal"))</f>
        <v/>
      </c>
      <c r="J109" s="38">
        <f>SUMPRODUCT((B$3:B109=B109)*(C$3:C109=C109)*(D$3:D109=D109)*E$3:E109)</f>
        <v/>
      </c>
      <c r="K109" s="38">
        <f>SUMPRODUCT((B$3:B109=B109)*(C$3:C109=C109)*(D$3:D109=D109)*F$3:F109)</f>
        <v/>
      </c>
      <c r="L109" s="42">
        <f>IF(J109=0,0,K109/J109)</f>
        <v/>
      </c>
    </row>
    <row r="110">
      <c r="A110" s="23" t="inlineStr">
        <is>
          <t>Mars</t>
        </is>
      </c>
      <c r="B110" s="23" t="n">
        <v>3</v>
      </c>
      <c r="C110" s="23" t="inlineStr">
        <is>
          <t>IT</t>
        </is>
      </c>
      <c r="D110" s="23" t="inlineStr">
        <is>
          <t>Matières &amp; Fournitures</t>
        </is>
      </c>
      <c r="E110" s="21" t="n">
        <v>20000</v>
      </c>
      <c r="F110" s="21" t="n">
        <v>20405</v>
      </c>
      <c r="G110" s="39">
        <f>F110-E110</f>
        <v/>
      </c>
      <c r="H110" s="40">
        <f>IF(E110=0,0,(F110-E110)/E110)</f>
        <v/>
      </c>
      <c r="I110" s="41">
        <f>IF(H110&gt;0.1,"⚠️ Dépassement",IF(H110&lt;-0.1,"✅ Économie","🔵 Normal"))</f>
        <v/>
      </c>
      <c r="J110" s="21">
        <f>SUMPRODUCT((B$3:B110=B110)*(C$3:C110=C110)*(D$3:D110=D110)*E$3:E110)</f>
        <v/>
      </c>
      <c r="K110" s="21">
        <f>SUMPRODUCT((B$3:B110=B110)*(C$3:C110=C110)*(D$3:D110=D110)*F$3:F110)</f>
        <v/>
      </c>
      <c r="L110" s="22">
        <f>IF(J110=0,0,K110/J110)</f>
        <v/>
      </c>
    </row>
    <row r="111">
      <c r="A111" s="37" t="inlineStr">
        <is>
          <t>Mars</t>
        </is>
      </c>
      <c r="B111" s="37" t="n">
        <v>3</v>
      </c>
      <c r="C111" s="37" t="inlineStr">
        <is>
          <t>IT</t>
        </is>
      </c>
      <c r="D111" s="37" t="inlineStr">
        <is>
          <t>Informatique &amp; Licences</t>
        </is>
      </c>
      <c r="E111" s="38" t="n">
        <v>50000</v>
      </c>
      <c r="F111" s="38" t="n">
        <v>44573</v>
      </c>
      <c r="G111" s="39">
        <f>F111-E111</f>
        <v/>
      </c>
      <c r="H111" s="40">
        <f>IF(E111=0,0,(F111-E111)/E111)</f>
        <v/>
      </c>
      <c r="I111" s="41">
        <f>IF(H111&gt;0.1,"⚠️ Dépassement",IF(H111&lt;-0.1,"✅ Économie","🔵 Normal"))</f>
        <v/>
      </c>
      <c r="J111" s="38">
        <f>SUMPRODUCT((B$3:B111=B111)*(C$3:C111=C111)*(D$3:D111=D111)*E$3:E111)</f>
        <v/>
      </c>
      <c r="K111" s="38">
        <f>SUMPRODUCT((B$3:B111=B111)*(C$3:C111=C111)*(D$3:D111=D111)*F$3:F111)</f>
        <v/>
      </c>
      <c r="L111" s="42">
        <f>IF(J111=0,0,K111/J111)</f>
        <v/>
      </c>
    </row>
    <row r="112">
      <c r="A112" s="23" t="inlineStr">
        <is>
          <t>Mars</t>
        </is>
      </c>
      <c r="B112" s="23" t="n">
        <v>3</v>
      </c>
      <c r="C112" s="23" t="inlineStr">
        <is>
          <t>IT</t>
        </is>
      </c>
      <c r="D112" s="23" t="inlineStr">
        <is>
          <t>Déplacements &amp; Missions</t>
        </is>
      </c>
      <c r="E112" s="21" t="n">
        <v>8000</v>
      </c>
      <c r="F112" s="21" t="n">
        <v>9480</v>
      </c>
      <c r="G112" s="39">
        <f>F112-E112</f>
        <v/>
      </c>
      <c r="H112" s="40">
        <f>IF(E112=0,0,(F112-E112)/E112)</f>
        <v/>
      </c>
      <c r="I112" s="41">
        <f>IF(H112&gt;0.1,"⚠️ Dépassement",IF(H112&lt;-0.1,"✅ Économie","🔵 Normal"))</f>
        <v/>
      </c>
      <c r="J112" s="21">
        <f>SUMPRODUCT((B$3:B112=B112)*(C$3:C112=C112)*(D$3:D112=D112)*E$3:E112)</f>
        <v/>
      </c>
      <c r="K112" s="21">
        <f>SUMPRODUCT((B$3:B112=B112)*(C$3:C112=C112)*(D$3:D112=D112)*F$3:F112)</f>
        <v/>
      </c>
      <c r="L112" s="22">
        <f>IF(J112=0,0,K112/J112)</f>
        <v/>
      </c>
    </row>
    <row r="113">
      <c r="A113" s="37" t="inlineStr">
        <is>
          <t>Mars</t>
        </is>
      </c>
      <c r="B113" s="37" t="n">
        <v>3</v>
      </c>
      <c r="C113" s="37" t="inlineStr">
        <is>
          <t>IT</t>
        </is>
      </c>
      <c r="D113" s="37" t="inlineStr">
        <is>
          <t>Formation</t>
        </is>
      </c>
      <c r="E113" s="38" t="n">
        <v>18000</v>
      </c>
      <c r="F113" s="38" t="n">
        <v>21028</v>
      </c>
      <c r="G113" s="39">
        <f>F113-E113</f>
        <v/>
      </c>
      <c r="H113" s="40">
        <f>IF(E113=0,0,(F113-E113)/E113)</f>
        <v/>
      </c>
      <c r="I113" s="41">
        <f>IF(H113&gt;0.1,"⚠️ Dépassement",IF(H113&lt;-0.1,"✅ Économie","🔵 Normal"))</f>
        <v/>
      </c>
      <c r="J113" s="38">
        <f>SUMPRODUCT((B$3:B113=B113)*(C$3:C113=C113)*(D$3:D113=D113)*E$3:E113)</f>
        <v/>
      </c>
      <c r="K113" s="38">
        <f>SUMPRODUCT((B$3:B113=B113)*(C$3:C113=C113)*(D$3:D113=D113)*F$3:F113)</f>
        <v/>
      </c>
      <c r="L113" s="42">
        <f>IF(J113=0,0,K113/J113)</f>
        <v/>
      </c>
    </row>
    <row r="114">
      <c r="A114" s="23" t="inlineStr">
        <is>
          <t>Mars</t>
        </is>
      </c>
      <c r="B114" s="23" t="n">
        <v>3</v>
      </c>
      <c r="C114" s="23" t="inlineStr">
        <is>
          <t>IT</t>
        </is>
      </c>
      <c r="D114" s="23" t="inlineStr">
        <is>
          <t>Publicité &amp; Communication</t>
        </is>
      </c>
      <c r="E114" s="21" t="n">
        <v>4000</v>
      </c>
      <c r="F114" s="21" t="n">
        <v>3758</v>
      </c>
      <c r="G114" s="39">
        <f>F114-E114</f>
        <v/>
      </c>
      <c r="H114" s="40">
        <f>IF(E114=0,0,(F114-E114)/E114)</f>
        <v/>
      </c>
      <c r="I114" s="41">
        <f>IF(H114&gt;0.1,"⚠️ Dépassement",IF(H114&lt;-0.1,"✅ Économie","🔵 Normal"))</f>
        <v/>
      </c>
      <c r="J114" s="21">
        <f>SUMPRODUCT((B$3:B114=B114)*(C$3:C114=C114)*(D$3:D114=D114)*E$3:E114)</f>
        <v/>
      </c>
      <c r="K114" s="21">
        <f>SUMPRODUCT((B$3:B114=B114)*(C$3:C114=C114)*(D$3:D114=D114)*F$3:F114)</f>
        <v/>
      </c>
      <c r="L114" s="22">
        <f>IF(J114=0,0,K114/J114)</f>
        <v/>
      </c>
    </row>
    <row r="115">
      <c r="A115" s="37" t="inlineStr">
        <is>
          <t>Mars</t>
        </is>
      </c>
      <c r="B115" s="37" t="n">
        <v>3</v>
      </c>
      <c r="C115" s="37" t="inlineStr">
        <is>
          <t>Administration</t>
        </is>
      </c>
      <c r="D115" s="37" t="inlineStr">
        <is>
          <t>Salaires</t>
        </is>
      </c>
      <c r="E115" s="38" t="n">
        <v>75000</v>
      </c>
      <c r="F115" s="38" t="n">
        <v>80668</v>
      </c>
      <c r="G115" s="39">
        <f>F115-E115</f>
        <v/>
      </c>
      <c r="H115" s="40">
        <f>IF(E115=0,0,(F115-E115)/E115)</f>
        <v/>
      </c>
      <c r="I115" s="41">
        <f>IF(H115&gt;0.1,"⚠️ Dépassement",IF(H115&lt;-0.1,"✅ Économie","🔵 Normal"))</f>
        <v/>
      </c>
      <c r="J115" s="38">
        <f>SUMPRODUCT((B$3:B115=B115)*(C$3:C115=C115)*(D$3:D115=D115)*E$3:E115)</f>
        <v/>
      </c>
      <c r="K115" s="38">
        <f>SUMPRODUCT((B$3:B115=B115)*(C$3:C115=C115)*(D$3:D115=D115)*F$3:F115)</f>
        <v/>
      </c>
      <c r="L115" s="42">
        <f>IF(J115=0,0,K115/J115)</f>
        <v/>
      </c>
    </row>
    <row r="116">
      <c r="A116" s="23" t="inlineStr">
        <is>
          <t>Mars</t>
        </is>
      </c>
      <c r="B116" s="23" t="n">
        <v>3</v>
      </c>
      <c r="C116" s="23" t="inlineStr">
        <is>
          <t>Administration</t>
        </is>
      </c>
      <c r="D116" s="23" t="inlineStr">
        <is>
          <t>Charges sociales</t>
        </is>
      </c>
      <c r="E116" s="21" t="n">
        <v>22500</v>
      </c>
      <c r="F116" s="21" t="n">
        <v>23931</v>
      </c>
      <c r="G116" s="39">
        <f>F116-E116</f>
        <v/>
      </c>
      <c r="H116" s="40">
        <f>IF(E116=0,0,(F116-E116)/E116)</f>
        <v/>
      </c>
      <c r="I116" s="41">
        <f>IF(H116&gt;0.1,"⚠️ Dépassement",IF(H116&lt;-0.1,"✅ Économie","🔵 Normal"))</f>
        <v/>
      </c>
      <c r="J116" s="21">
        <f>SUMPRODUCT((B$3:B116=B116)*(C$3:C116=C116)*(D$3:D116=D116)*E$3:E116)</f>
        <v/>
      </c>
      <c r="K116" s="21">
        <f>SUMPRODUCT((B$3:B116=B116)*(C$3:C116=C116)*(D$3:D116=D116)*F$3:F116)</f>
        <v/>
      </c>
      <c r="L116" s="22">
        <f>IF(J116=0,0,K116/J116)</f>
        <v/>
      </c>
    </row>
    <row r="117">
      <c r="A117" s="37" t="inlineStr">
        <is>
          <t>Mars</t>
        </is>
      </c>
      <c r="B117" s="37" t="n">
        <v>3</v>
      </c>
      <c r="C117" s="37" t="inlineStr">
        <is>
          <t>Administration</t>
        </is>
      </c>
      <c r="D117" s="37" t="inlineStr">
        <is>
          <t>Loyer &amp; Charges</t>
        </is>
      </c>
      <c r="E117" s="38" t="n">
        <v>18000</v>
      </c>
      <c r="F117" s="38" t="n">
        <v>15860</v>
      </c>
      <c r="G117" s="39">
        <f>F117-E117</f>
        <v/>
      </c>
      <c r="H117" s="40">
        <f>IF(E117=0,0,(F117-E117)/E117)</f>
        <v/>
      </c>
      <c r="I117" s="41">
        <f>IF(H117&gt;0.1,"⚠️ Dépassement",IF(H117&lt;-0.1,"✅ Économie","🔵 Normal"))</f>
        <v/>
      </c>
      <c r="J117" s="38">
        <f>SUMPRODUCT((B$3:B117=B117)*(C$3:C117=C117)*(D$3:D117=D117)*E$3:E117)</f>
        <v/>
      </c>
      <c r="K117" s="38">
        <f>SUMPRODUCT((B$3:B117=B117)*(C$3:C117=C117)*(D$3:D117=D117)*F$3:F117)</f>
        <v/>
      </c>
      <c r="L117" s="42">
        <f>IF(J117=0,0,K117/J117)</f>
        <v/>
      </c>
    </row>
    <row r="118">
      <c r="A118" s="23" t="inlineStr">
        <is>
          <t>Mars</t>
        </is>
      </c>
      <c r="B118" s="23" t="n">
        <v>3</v>
      </c>
      <c r="C118" s="23" t="inlineStr">
        <is>
          <t>Administration</t>
        </is>
      </c>
      <c r="D118" s="23" t="inlineStr">
        <is>
          <t>Matières &amp; Fournitures</t>
        </is>
      </c>
      <c r="E118" s="21" t="n">
        <v>12000</v>
      </c>
      <c r="F118" s="21" t="n">
        <v>13500</v>
      </c>
      <c r="G118" s="39">
        <f>F118-E118</f>
        <v/>
      </c>
      <c r="H118" s="40">
        <f>IF(E118=0,0,(F118-E118)/E118)</f>
        <v/>
      </c>
      <c r="I118" s="41">
        <f>IF(H118&gt;0.1,"⚠️ Dépassement",IF(H118&lt;-0.1,"✅ Économie","🔵 Normal"))</f>
        <v/>
      </c>
      <c r="J118" s="21">
        <f>SUMPRODUCT((B$3:B118=B118)*(C$3:C118=C118)*(D$3:D118=D118)*E$3:E118)</f>
        <v/>
      </c>
      <c r="K118" s="21">
        <f>SUMPRODUCT((B$3:B118=B118)*(C$3:C118=C118)*(D$3:D118=D118)*F$3:F118)</f>
        <v/>
      </c>
      <c r="L118" s="22">
        <f>IF(J118=0,0,K118/J118)</f>
        <v/>
      </c>
    </row>
    <row r="119">
      <c r="A119" s="37" t="inlineStr">
        <is>
          <t>Mars</t>
        </is>
      </c>
      <c r="B119" s="37" t="n">
        <v>3</v>
      </c>
      <c r="C119" s="37" t="inlineStr">
        <is>
          <t>Administration</t>
        </is>
      </c>
      <c r="D119" s="37" t="inlineStr">
        <is>
          <t>Informatique &amp; Licences</t>
        </is>
      </c>
      <c r="E119" s="38" t="n">
        <v>6000</v>
      </c>
      <c r="F119" s="38" t="n">
        <v>6215</v>
      </c>
      <c r="G119" s="39">
        <f>F119-E119</f>
        <v/>
      </c>
      <c r="H119" s="40">
        <f>IF(E119=0,0,(F119-E119)/E119)</f>
        <v/>
      </c>
      <c r="I119" s="41">
        <f>IF(H119&gt;0.1,"⚠️ Dépassement",IF(H119&lt;-0.1,"✅ Économie","🔵 Normal"))</f>
        <v/>
      </c>
      <c r="J119" s="38">
        <f>SUMPRODUCT((B$3:B119=B119)*(C$3:C119=C119)*(D$3:D119=D119)*E$3:E119)</f>
        <v/>
      </c>
      <c r="K119" s="38">
        <f>SUMPRODUCT((B$3:B119=B119)*(C$3:C119=C119)*(D$3:D119=D119)*F$3:F119)</f>
        <v/>
      </c>
      <c r="L119" s="42">
        <f>IF(J119=0,0,K119/J119)</f>
        <v/>
      </c>
    </row>
    <row r="120">
      <c r="A120" s="23" t="inlineStr">
        <is>
          <t>Mars</t>
        </is>
      </c>
      <c r="B120" s="23" t="n">
        <v>3</v>
      </c>
      <c r="C120" s="23" t="inlineStr">
        <is>
          <t>Administration</t>
        </is>
      </c>
      <c r="D120" s="23" t="inlineStr">
        <is>
          <t>Déplacements &amp; Missions</t>
        </is>
      </c>
      <c r="E120" s="21" t="n">
        <v>9000</v>
      </c>
      <c r="F120" s="21" t="n">
        <v>10183</v>
      </c>
      <c r="G120" s="39">
        <f>F120-E120</f>
        <v/>
      </c>
      <c r="H120" s="40">
        <f>IF(E120=0,0,(F120-E120)/E120)</f>
        <v/>
      </c>
      <c r="I120" s="41">
        <f>IF(H120&gt;0.1,"⚠️ Dépassement",IF(H120&lt;-0.1,"✅ Économie","🔵 Normal"))</f>
        <v/>
      </c>
      <c r="J120" s="21">
        <f>SUMPRODUCT((B$3:B120=B120)*(C$3:C120=C120)*(D$3:D120=D120)*E$3:E120)</f>
        <v/>
      </c>
      <c r="K120" s="21">
        <f>SUMPRODUCT((B$3:B120=B120)*(C$3:C120=C120)*(D$3:D120=D120)*F$3:F120)</f>
        <v/>
      </c>
      <c r="L120" s="22">
        <f>IF(J120=0,0,K120/J120)</f>
        <v/>
      </c>
    </row>
    <row r="121">
      <c r="A121" s="37" t="inlineStr">
        <is>
          <t>Mars</t>
        </is>
      </c>
      <c r="B121" s="37" t="n">
        <v>3</v>
      </c>
      <c r="C121" s="37" t="inlineStr">
        <is>
          <t>Administration</t>
        </is>
      </c>
      <c r="D121" s="37" t="inlineStr">
        <is>
          <t>Formation</t>
        </is>
      </c>
      <c r="E121" s="38" t="n">
        <v>5000</v>
      </c>
      <c r="F121" s="38" t="n">
        <v>5161</v>
      </c>
      <c r="G121" s="39">
        <f>F121-E121</f>
        <v/>
      </c>
      <c r="H121" s="40">
        <f>IF(E121=0,0,(F121-E121)/E121)</f>
        <v/>
      </c>
      <c r="I121" s="41">
        <f>IF(H121&gt;0.1,"⚠️ Dépassement",IF(H121&lt;-0.1,"✅ Économie","🔵 Normal"))</f>
        <v/>
      </c>
      <c r="J121" s="38">
        <f>SUMPRODUCT((B$3:B121=B121)*(C$3:C121=C121)*(D$3:D121=D121)*E$3:E121)</f>
        <v/>
      </c>
      <c r="K121" s="38">
        <f>SUMPRODUCT((B$3:B121=B121)*(C$3:C121=C121)*(D$3:D121=D121)*F$3:F121)</f>
        <v/>
      </c>
      <c r="L121" s="42">
        <f>IF(J121=0,0,K121/J121)</f>
        <v/>
      </c>
    </row>
    <row r="122">
      <c r="A122" s="23" t="inlineStr">
        <is>
          <t>Mars</t>
        </is>
      </c>
      <c r="B122" s="23" t="n">
        <v>3</v>
      </c>
      <c r="C122" s="23" t="inlineStr">
        <is>
          <t>Administration</t>
        </is>
      </c>
      <c r="D122" s="23" t="inlineStr">
        <is>
          <t>Publicité &amp; Communication</t>
        </is>
      </c>
      <c r="E122" s="21" t="n">
        <v>2000</v>
      </c>
      <c r="F122" s="21" t="n">
        <v>1640</v>
      </c>
      <c r="G122" s="39">
        <f>F122-E122</f>
        <v/>
      </c>
      <c r="H122" s="40">
        <f>IF(E122=0,0,(F122-E122)/E122)</f>
        <v/>
      </c>
      <c r="I122" s="41">
        <f>IF(H122&gt;0.1,"⚠️ Dépassement",IF(H122&lt;-0.1,"✅ Économie","🔵 Normal"))</f>
        <v/>
      </c>
      <c r="J122" s="21">
        <f>SUMPRODUCT((B$3:B122=B122)*(C$3:C122=C122)*(D$3:D122=D122)*E$3:E122)</f>
        <v/>
      </c>
      <c r="K122" s="21">
        <f>SUMPRODUCT((B$3:B122=B122)*(C$3:C122=C122)*(D$3:D122=D122)*F$3:F122)</f>
        <v/>
      </c>
      <c r="L122" s="22">
        <f>IF(J122=0,0,K122/J122)</f>
        <v/>
      </c>
    </row>
    <row r="123">
      <c r="A123" s="37" t="inlineStr">
        <is>
          <t>Avril</t>
        </is>
      </c>
      <c r="B123" s="37" t="n">
        <v>4</v>
      </c>
      <c r="C123" s="37" t="inlineStr">
        <is>
          <t>RH</t>
        </is>
      </c>
      <c r="D123" s="37" t="inlineStr">
        <is>
          <t>Salaires</t>
        </is>
      </c>
      <c r="E123" s="38" t="n">
        <v>180000</v>
      </c>
      <c r="F123" s="38" t="n">
        <v>170939</v>
      </c>
      <c r="G123" s="39">
        <f>F123-E123</f>
        <v/>
      </c>
      <c r="H123" s="40">
        <f>IF(E123=0,0,(F123-E123)/E123)</f>
        <v/>
      </c>
      <c r="I123" s="41">
        <f>IF(H123&gt;0.1,"⚠️ Dépassement",IF(H123&lt;-0.1,"✅ Économie","🔵 Normal"))</f>
        <v/>
      </c>
      <c r="J123" s="38">
        <f>SUMPRODUCT((B$3:B123=B123)*(C$3:C123=C123)*(D$3:D123=D123)*E$3:E123)</f>
        <v/>
      </c>
      <c r="K123" s="38">
        <f>SUMPRODUCT((B$3:B123=B123)*(C$3:C123=C123)*(D$3:D123=D123)*F$3:F123)</f>
        <v/>
      </c>
      <c r="L123" s="42">
        <f>IF(J123=0,0,K123/J123)</f>
        <v/>
      </c>
    </row>
    <row r="124">
      <c r="A124" s="23" t="inlineStr">
        <is>
          <t>Avril</t>
        </is>
      </c>
      <c r="B124" s="23" t="n">
        <v>4</v>
      </c>
      <c r="C124" s="23" t="inlineStr">
        <is>
          <t>RH</t>
        </is>
      </c>
      <c r="D124" s="23" t="inlineStr">
        <is>
          <t>Charges sociales</t>
        </is>
      </c>
      <c r="E124" s="21" t="n">
        <v>54000</v>
      </c>
      <c r="F124" s="21" t="n">
        <v>44701</v>
      </c>
      <c r="G124" s="39">
        <f>F124-E124</f>
        <v/>
      </c>
      <c r="H124" s="40">
        <f>IF(E124=0,0,(F124-E124)/E124)</f>
        <v/>
      </c>
      <c r="I124" s="41">
        <f>IF(H124&gt;0.1,"⚠️ Dépassement",IF(H124&lt;-0.1,"✅ Économie","🔵 Normal"))</f>
        <v/>
      </c>
      <c r="J124" s="21">
        <f>SUMPRODUCT((B$3:B124=B124)*(C$3:C124=C124)*(D$3:D124=D124)*E$3:E124)</f>
        <v/>
      </c>
      <c r="K124" s="21">
        <f>SUMPRODUCT((B$3:B124=B124)*(C$3:C124=C124)*(D$3:D124=D124)*F$3:F124)</f>
        <v/>
      </c>
      <c r="L124" s="22">
        <f>IF(J124=0,0,K124/J124)</f>
        <v/>
      </c>
    </row>
    <row r="125">
      <c r="A125" s="37" t="inlineStr">
        <is>
          <t>Avril</t>
        </is>
      </c>
      <c r="B125" s="37" t="n">
        <v>4</v>
      </c>
      <c r="C125" s="37" t="inlineStr">
        <is>
          <t>RH</t>
        </is>
      </c>
      <c r="D125" s="37" t="inlineStr">
        <is>
          <t>Loyer &amp; Charges</t>
        </is>
      </c>
      <c r="E125" s="38" t="n">
        <v>15000</v>
      </c>
      <c r="F125" s="38" t="n">
        <v>17875</v>
      </c>
      <c r="G125" s="39">
        <f>F125-E125</f>
        <v/>
      </c>
      <c r="H125" s="40">
        <f>IF(E125=0,0,(F125-E125)/E125)</f>
        <v/>
      </c>
      <c r="I125" s="41">
        <f>IF(H125&gt;0.1,"⚠️ Dépassement",IF(H125&lt;-0.1,"✅ Économie","🔵 Normal"))</f>
        <v/>
      </c>
      <c r="J125" s="38">
        <f>SUMPRODUCT((B$3:B125=B125)*(C$3:C125=C125)*(D$3:D125=D125)*E$3:E125)</f>
        <v/>
      </c>
      <c r="K125" s="38">
        <f>SUMPRODUCT((B$3:B125=B125)*(C$3:C125=C125)*(D$3:D125=D125)*F$3:F125)</f>
        <v/>
      </c>
      <c r="L125" s="42">
        <f>IF(J125=0,0,K125/J125)</f>
        <v/>
      </c>
    </row>
    <row r="126">
      <c r="A126" s="23" t="inlineStr">
        <is>
          <t>Avril</t>
        </is>
      </c>
      <c r="B126" s="23" t="n">
        <v>4</v>
      </c>
      <c r="C126" s="23" t="inlineStr">
        <is>
          <t>RH</t>
        </is>
      </c>
      <c r="D126" s="23" t="inlineStr">
        <is>
          <t>Matières &amp; Fournitures</t>
        </is>
      </c>
      <c r="E126" s="21" t="n">
        <v>8000</v>
      </c>
      <c r="F126" s="21" t="n">
        <v>9372</v>
      </c>
      <c r="G126" s="39">
        <f>F126-E126</f>
        <v/>
      </c>
      <c r="H126" s="40">
        <f>IF(E126=0,0,(F126-E126)/E126)</f>
        <v/>
      </c>
      <c r="I126" s="41">
        <f>IF(H126&gt;0.1,"⚠️ Dépassement",IF(H126&lt;-0.1,"✅ Économie","🔵 Normal"))</f>
        <v/>
      </c>
      <c r="J126" s="21">
        <f>SUMPRODUCT((B$3:B126=B126)*(C$3:C126=C126)*(D$3:D126=D126)*E$3:E126)</f>
        <v/>
      </c>
      <c r="K126" s="21">
        <f>SUMPRODUCT((B$3:B126=B126)*(C$3:C126=C126)*(D$3:D126=D126)*F$3:F126)</f>
        <v/>
      </c>
      <c r="L126" s="22">
        <f>IF(J126=0,0,K126/J126)</f>
        <v/>
      </c>
    </row>
    <row r="127">
      <c r="A127" s="37" t="inlineStr">
        <is>
          <t>Avril</t>
        </is>
      </c>
      <c r="B127" s="37" t="n">
        <v>4</v>
      </c>
      <c r="C127" s="37" t="inlineStr">
        <is>
          <t>RH</t>
        </is>
      </c>
      <c r="D127" s="37" t="inlineStr">
        <is>
          <t>Informatique &amp; Licences</t>
        </is>
      </c>
      <c r="E127" s="38" t="n">
        <v>5000</v>
      </c>
      <c r="F127" s="38" t="n">
        <v>5763</v>
      </c>
      <c r="G127" s="39">
        <f>F127-E127</f>
        <v/>
      </c>
      <c r="H127" s="40">
        <f>IF(E127=0,0,(F127-E127)/E127)</f>
        <v/>
      </c>
      <c r="I127" s="41">
        <f>IF(H127&gt;0.1,"⚠️ Dépassement",IF(H127&lt;-0.1,"✅ Économie","🔵 Normal"))</f>
        <v/>
      </c>
      <c r="J127" s="38">
        <f>SUMPRODUCT((B$3:B127=B127)*(C$3:C127=C127)*(D$3:D127=D127)*E$3:E127)</f>
        <v/>
      </c>
      <c r="K127" s="38">
        <f>SUMPRODUCT((B$3:B127=B127)*(C$3:C127=C127)*(D$3:D127=D127)*F$3:F127)</f>
        <v/>
      </c>
      <c r="L127" s="42">
        <f>IF(J127=0,0,K127/J127)</f>
        <v/>
      </c>
    </row>
    <row r="128">
      <c r="A128" s="23" t="inlineStr">
        <is>
          <t>Avril</t>
        </is>
      </c>
      <c r="B128" s="23" t="n">
        <v>4</v>
      </c>
      <c r="C128" s="23" t="inlineStr">
        <is>
          <t>RH</t>
        </is>
      </c>
      <c r="D128" s="23" t="inlineStr">
        <is>
          <t>Déplacements &amp; Missions</t>
        </is>
      </c>
      <c r="E128" s="21" t="n">
        <v>7000</v>
      </c>
      <c r="F128" s="21" t="n">
        <v>6601</v>
      </c>
      <c r="G128" s="39">
        <f>F128-E128</f>
        <v/>
      </c>
      <c r="H128" s="40">
        <f>IF(E128=0,0,(F128-E128)/E128)</f>
        <v/>
      </c>
      <c r="I128" s="41">
        <f>IF(H128&gt;0.1,"⚠️ Dépassement",IF(H128&lt;-0.1,"✅ Économie","🔵 Normal"))</f>
        <v/>
      </c>
      <c r="J128" s="21">
        <f>SUMPRODUCT((B$3:B128=B128)*(C$3:C128=C128)*(D$3:D128=D128)*E$3:E128)</f>
        <v/>
      </c>
      <c r="K128" s="21">
        <f>SUMPRODUCT((B$3:B128=B128)*(C$3:C128=C128)*(D$3:D128=D128)*F$3:F128)</f>
        <v/>
      </c>
      <c r="L128" s="22">
        <f>IF(J128=0,0,K128/J128)</f>
        <v/>
      </c>
    </row>
    <row r="129">
      <c r="A129" s="37" t="inlineStr">
        <is>
          <t>Avril</t>
        </is>
      </c>
      <c r="B129" s="37" t="n">
        <v>4</v>
      </c>
      <c r="C129" s="37" t="inlineStr">
        <is>
          <t>RH</t>
        </is>
      </c>
      <c r="D129" s="37" t="inlineStr">
        <is>
          <t>Formation</t>
        </is>
      </c>
      <c r="E129" s="38" t="n">
        <v>20000</v>
      </c>
      <c r="F129" s="38" t="n">
        <v>16863</v>
      </c>
      <c r="G129" s="39">
        <f>F129-E129</f>
        <v/>
      </c>
      <c r="H129" s="40">
        <f>IF(E129=0,0,(F129-E129)/E129)</f>
        <v/>
      </c>
      <c r="I129" s="41">
        <f>IF(H129&gt;0.1,"⚠️ Dépassement",IF(H129&lt;-0.1,"✅ Économie","🔵 Normal"))</f>
        <v/>
      </c>
      <c r="J129" s="38">
        <f>SUMPRODUCT((B$3:B129=B129)*(C$3:C129=C129)*(D$3:D129=D129)*E$3:E129)</f>
        <v/>
      </c>
      <c r="K129" s="38">
        <f>SUMPRODUCT((B$3:B129=B129)*(C$3:C129=C129)*(D$3:D129=D129)*F$3:F129)</f>
        <v/>
      </c>
      <c r="L129" s="42">
        <f>IF(J129=0,0,K129/J129)</f>
        <v/>
      </c>
    </row>
    <row r="130">
      <c r="A130" s="23" t="inlineStr">
        <is>
          <t>Avril</t>
        </is>
      </c>
      <c r="B130" s="23" t="n">
        <v>4</v>
      </c>
      <c r="C130" s="23" t="inlineStr">
        <is>
          <t>RH</t>
        </is>
      </c>
      <c r="D130" s="23" t="inlineStr">
        <is>
          <t>Publicité &amp; Communication</t>
        </is>
      </c>
      <c r="E130" s="21" t="n">
        <v>3000</v>
      </c>
      <c r="F130" s="21" t="n">
        <v>3514</v>
      </c>
      <c r="G130" s="39">
        <f>F130-E130</f>
        <v/>
      </c>
      <c r="H130" s="40">
        <f>IF(E130=0,0,(F130-E130)/E130)</f>
        <v/>
      </c>
      <c r="I130" s="41">
        <f>IF(H130&gt;0.1,"⚠️ Dépassement",IF(H130&lt;-0.1,"✅ Économie","🔵 Normal"))</f>
        <v/>
      </c>
      <c r="J130" s="21">
        <f>SUMPRODUCT((B$3:B130=B130)*(C$3:C130=C130)*(D$3:D130=D130)*E$3:E130)</f>
        <v/>
      </c>
      <c r="K130" s="21">
        <f>SUMPRODUCT((B$3:B130=B130)*(C$3:C130=C130)*(D$3:D130=D130)*F$3:F130)</f>
        <v/>
      </c>
      <c r="L130" s="22">
        <f>IF(J130=0,0,K130/J130)</f>
        <v/>
      </c>
    </row>
    <row r="131">
      <c r="A131" s="37" t="inlineStr">
        <is>
          <t>Avril</t>
        </is>
      </c>
      <c r="B131" s="37" t="n">
        <v>4</v>
      </c>
      <c r="C131" s="37" t="inlineStr">
        <is>
          <t>Marketing</t>
        </is>
      </c>
      <c r="D131" s="37" t="inlineStr">
        <is>
          <t>Salaires</t>
        </is>
      </c>
      <c r="E131" s="38" t="n">
        <v>95000</v>
      </c>
      <c r="F131" s="38" t="n">
        <v>113884</v>
      </c>
      <c r="G131" s="39">
        <f>F131-E131</f>
        <v/>
      </c>
      <c r="H131" s="40">
        <f>IF(E131=0,0,(F131-E131)/E131)</f>
        <v/>
      </c>
      <c r="I131" s="41">
        <f>IF(H131&gt;0.1,"⚠️ Dépassement",IF(H131&lt;-0.1,"✅ Économie","🔵 Normal"))</f>
        <v/>
      </c>
      <c r="J131" s="38">
        <f>SUMPRODUCT((B$3:B131=B131)*(C$3:C131=C131)*(D$3:D131=D131)*E$3:E131)</f>
        <v/>
      </c>
      <c r="K131" s="38">
        <f>SUMPRODUCT((B$3:B131=B131)*(C$3:C131=C131)*(D$3:D131=D131)*F$3:F131)</f>
        <v/>
      </c>
      <c r="L131" s="42">
        <f>IF(J131=0,0,K131/J131)</f>
        <v/>
      </c>
    </row>
    <row r="132">
      <c r="A132" s="23" t="inlineStr">
        <is>
          <t>Avril</t>
        </is>
      </c>
      <c r="B132" s="23" t="n">
        <v>4</v>
      </c>
      <c r="C132" s="23" t="inlineStr">
        <is>
          <t>Marketing</t>
        </is>
      </c>
      <c r="D132" s="23" t="inlineStr">
        <is>
          <t>Charges sociales</t>
        </is>
      </c>
      <c r="E132" s="21" t="n">
        <v>28500</v>
      </c>
      <c r="F132" s="21" t="n">
        <v>24346</v>
      </c>
      <c r="G132" s="39">
        <f>F132-E132</f>
        <v/>
      </c>
      <c r="H132" s="40">
        <f>IF(E132=0,0,(F132-E132)/E132)</f>
        <v/>
      </c>
      <c r="I132" s="41">
        <f>IF(H132&gt;0.1,"⚠️ Dépassement",IF(H132&lt;-0.1,"✅ Économie","🔵 Normal"))</f>
        <v/>
      </c>
      <c r="J132" s="21">
        <f>SUMPRODUCT((B$3:B132=B132)*(C$3:C132=C132)*(D$3:D132=D132)*E$3:E132)</f>
        <v/>
      </c>
      <c r="K132" s="21">
        <f>SUMPRODUCT((B$3:B132=B132)*(C$3:C132=C132)*(D$3:D132=D132)*F$3:F132)</f>
        <v/>
      </c>
      <c r="L132" s="22">
        <f>IF(J132=0,0,K132/J132)</f>
        <v/>
      </c>
    </row>
    <row r="133">
      <c r="A133" s="37" t="inlineStr">
        <is>
          <t>Avril</t>
        </is>
      </c>
      <c r="B133" s="37" t="n">
        <v>4</v>
      </c>
      <c r="C133" s="37" t="inlineStr">
        <is>
          <t>Marketing</t>
        </is>
      </c>
      <c r="D133" s="37" t="inlineStr">
        <is>
          <t>Loyer &amp; Charges</t>
        </is>
      </c>
      <c r="E133" s="38" t="n">
        <v>12000</v>
      </c>
      <c r="F133" s="38" t="n">
        <v>12173</v>
      </c>
      <c r="G133" s="39">
        <f>F133-E133</f>
        <v/>
      </c>
      <c r="H133" s="40">
        <f>IF(E133=0,0,(F133-E133)/E133)</f>
        <v/>
      </c>
      <c r="I133" s="41">
        <f>IF(H133&gt;0.1,"⚠️ Dépassement",IF(H133&lt;-0.1,"✅ Économie","🔵 Normal"))</f>
        <v/>
      </c>
      <c r="J133" s="38">
        <f>SUMPRODUCT((B$3:B133=B133)*(C$3:C133=C133)*(D$3:D133=D133)*E$3:E133)</f>
        <v/>
      </c>
      <c r="K133" s="38">
        <f>SUMPRODUCT((B$3:B133=B133)*(C$3:C133=C133)*(D$3:D133=D133)*F$3:F133)</f>
        <v/>
      </c>
      <c r="L133" s="42">
        <f>IF(J133=0,0,K133/J133)</f>
        <v/>
      </c>
    </row>
    <row r="134">
      <c r="A134" s="23" t="inlineStr">
        <is>
          <t>Avril</t>
        </is>
      </c>
      <c r="B134" s="23" t="n">
        <v>4</v>
      </c>
      <c r="C134" s="23" t="inlineStr">
        <is>
          <t>Marketing</t>
        </is>
      </c>
      <c r="D134" s="23" t="inlineStr">
        <is>
          <t>Matières &amp; Fournitures</t>
        </is>
      </c>
      <c r="E134" s="21" t="n">
        <v>6000</v>
      </c>
      <c r="F134" s="21" t="n">
        <v>5086</v>
      </c>
      <c r="G134" s="39">
        <f>F134-E134</f>
        <v/>
      </c>
      <c r="H134" s="40">
        <f>IF(E134=0,0,(F134-E134)/E134)</f>
        <v/>
      </c>
      <c r="I134" s="41">
        <f>IF(H134&gt;0.1,"⚠️ Dépassement",IF(H134&lt;-0.1,"✅ Économie","🔵 Normal"))</f>
        <v/>
      </c>
      <c r="J134" s="21">
        <f>SUMPRODUCT((B$3:B134=B134)*(C$3:C134=C134)*(D$3:D134=D134)*E$3:E134)</f>
        <v/>
      </c>
      <c r="K134" s="21">
        <f>SUMPRODUCT((B$3:B134=B134)*(C$3:C134=C134)*(D$3:D134=D134)*F$3:F134)</f>
        <v/>
      </c>
      <c r="L134" s="22">
        <f>IF(J134=0,0,K134/J134)</f>
        <v/>
      </c>
    </row>
    <row r="135">
      <c r="A135" s="37" t="inlineStr">
        <is>
          <t>Avril</t>
        </is>
      </c>
      <c r="B135" s="37" t="n">
        <v>4</v>
      </c>
      <c r="C135" s="37" t="inlineStr">
        <is>
          <t>Marketing</t>
        </is>
      </c>
      <c r="D135" s="37" t="inlineStr">
        <is>
          <t>Informatique &amp; Licences</t>
        </is>
      </c>
      <c r="E135" s="38" t="n">
        <v>8000</v>
      </c>
      <c r="F135" s="38" t="n">
        <v>8994</v>
      </c>
      <c r="G135" s="39">
        <f>F135-E135</f>
        <v/>
      </c>
      <c r="H135" s="40">
        <f>IF(E135=0,0,(F135-E135)/E135)</f>
        <v/>
      </c>
      <c r="I135" s="41">
        <f>IF(H135&gt;0.1,"⚠️ Dépassement",IF(H135&lt;-0.1,"✅ Économie","🔵 Normal"))</f>
        <v/>
      </c>
      <c r="J135" s="38">
        <f>SUMPRODUCT((B$3:B135=B135)*(C$3:C135=C135)*(D$3:D135=D135)*E$3:E135)</f>
        <v/>
      </c>
      <c r="K135" s="38">
        <f>SUMPRODUCT((B$3:B135=B135)*(C$3:C135=C135)*(D$3:D135=D135)*F$3:F135)</f>
        <v/>
      </c>
      <c r="L135" s="42">
        <f>IF(J135=0,0,K135/J135)</f>
        <v/>
      </c>
    </row>
    <row r="136">
      <c r="A136" s="23" t="inlineStr">
        <is>
          <t>Avril</t>
        </is>
      </c>
      <c r="B136" s="23" t="n">
        <v>4</v>
      </c>
      <c r="C136" s="23" t="inlineStr">
        <is>
          <t>Marketing</t>
        </is>
      </c>
      <c r="D136" s="23" t="inlineStr">
        <is>
          <t>Déplacements &amp; Missions</t>
        </is>
      </c>
      <c r="E136" s="21" t="n">
        <v>15000</v>
      </c>
      <c r="F136" s="21" t="n">
        <v>16895</v>
      </c>
      <c r="G136" s="39">
        <f>F136-E136</f>
        <v/>
      </c>
      <c r="H136" s="40">
        <f>IF(E136=0,0,(F136-E136)/E136)</f>
        <v/>
      </c>
      <c r="I136" s="41">
        <f>IF(H136&gt;0.1,"⚠️ Dépassement",IF(H136&lt;-0.1,"✅ Économie","🔵 Normal"))</f>
        <v/>
      </c>
      <c r="J136" s="21">
        <f>SUMPRODUCT((B$3:B136=B136)*(C$3:C136=C136)*(D$3:D136=D136)*E$3:E136)</f>
        <v/>
      </c>
      <c r="K136" s="21">
        <f>SUMPRODUCT((B$3:B136=B136)*(C$3:C136=C136)*(D$3:D136=D136)*F$3:F136)</f>
        <v/>
      </c>
      <c r="L136" s="22">
        <f>IF(J136=0,0,K136/J136)</f>
        <v/>
      </c>
    </row>
    <row r="137">
      <c r="A137" s="37" t="inlineStr">
        <is>
          <t>Avril</t>
        </is>
      </c>
      <c r="B137" s="37" t="n">
        <v>4</v>
      </c>
      <c r="C137" s="37" t="inlineStr">
        <is>
          <t>Marketing</t>
        </is>
      </c>
      <c r="D137" s="37" t="inlineStr">
        <is>
          <t>Formation</t>
        </is>
      </c>
      <c r="E137" s="38" t="n">
        <v>8000</v>
      </c>
      <c r="F137" s="38" t="n">
        <v>6971</v>
      </c>
      <c r="G137" s="39">
        <f>F137-E137</f>
        <v/>
      </c>
      <c r="H137" s="40">
        <f>IF(E137=0,0,(F137-E137)/E137)</f>
        <v/>
      </c>
      <c r="I137" s="41">
        <f>IF(H137&gt;0.1,"⚠️ Dépassement",IF(H137&lt;-0.1,"✅ Économie","🔵 Normal"))</f>
        <v/>
      </c>
      <c r="J137" s="38">
        <f>SUMPRODUCT((B$3:B137=B137)*(C$3:C137=C137)*(D$3:D137=D137)*E$3:E137)</f>
        <v/>
      </c>
      <c r="K137" s="38">
        <f>SUMPRODUCT((B$3:B137=B137)*(C$3:C137=C137)*(D$3:D137=D137)*F$3:F137)</f>
        <v/>
      </c>
      <c r="L137" s="42">
        <f>IF(J137=0,0,K137/J137)</f>
        <v/>
      </c>
    </row>
    <row r="138">
      <c r="A138" s="23" t="inlineStr">
        <is>
          <t>Avril</t>
        </is>
      </c>
      <c r="B138" s="23" t="n">
        <v>4</v>
      </c>
      <c r="C138" s="23" t="inlineStr">
        <is>
          <t>Marketing</t>
        </is>
      </c>
      <c r="D138" s="23" t="inlineStr">
        <is>
          <t>Publicité &amp; Communication</t>
        </is>
      </c>
      <c r="E138" s="21" t="n">
        <v>45000</v>
      </c>
      <c r="F138" s="21" t="n">
        <v>45455</v>
      </c>
      <c r="G138" s="39">
        <f>F138-E138</f>
        <v/>
      </c>
      <c r="H138" s="40">
        <f>IF(E138=0,0,(F138-E138)/E138)</f>
        <v/>
      </c>
      <c r="I138" s="41">
        <f>IF(H138&gt;0.1,"⚠️ Dépassement",IF(H138&lt;-0.1,"✅ Économie","🔵 Normal"))</f>
        <v/>
      </c>
      <c r="J138" s="21">
        <f>SUMPRODUCT((B$3:B138=B138)*(C$3:C138=C138)*(D$3:D138=D138)*E$3:E138)</f>
        <v/>
      </c>
      <c r="K138" s="21">
        <f>SUMPRODUCT((B$3:B138=B138)*(C$3:C138=C138)*(D$3:D138=D138)*F$3:F138)</f>
        <v/>
      </c>
      <c r="L138" s="22">
        <f>IF(J138=0,0,K138/J138)</f>
        <v/>
      </c>
    </row>
    <row r="139">
      <c r="A139" s="37" t="inlineStr">
        <is>
          <t>Avril</t>
        </is>
      </c>
      <c r="B139" s="37" t="n">
        <v>4</v>
      </c>
      <c r="C139" s="37" t="inlineStr">
        <is>
          <t>Production</t>
        </is>
      </c>
      <c r="D139" s="37" t="inlineStr">
        <is>
          <t>Salaires</t>
        </is>
      </c>
      <c r="E139" s="38" t="n">
        <v>220000</v>
      </c>
      <c r="F139" s="38" t="n">
        <v>228783</v>
      </c>
      <c r="G139" s="39">
        <f>F139-E139</f>
        <v/>
      </c>
      <c r="H139" s="40">
        <f>IF(E139=0,0,(F139-E139)/E139)</f>
        <v/>
      </c>
      <c r="I139" s="41">
        <f>IF(H139&gt;0.1,"⚠️ Dépassement",IF(H139&lt;-0.1,"✅ Économie","🔵 Normal"))</f>
        <v/>
      </c>
      <c r="J139" s="38">
        <f>SUMPRODUCT((B$3:B139=B139)*(C$3:C139=C139)*(D$3:D139=D139)*E$3:E139)</f>
        <v/>
      </c>
      <c r="K139" s="38">
        <f>SUMPRODUCT((B$3:B139=B139)*(C$3:C139=C139)*(D$3:D139=D139)*F$3:F139)</f>
        <v/>
      </c>
      <c r="L139" s="42">
        <f>IF(J139=0,0,K139/J139)</f>
        <v/>
      </c>
    </row>
    <row r="140">
      <c r="A140" s="23" t="inlineStr">
        <is>
          <t>Avril</t>
        </is>
      </c>
      <c r="B140" s="23" t="n">
        <v>4</v>
      </c>
      <c r="C140" s="23" t="inlineStr">
        <is>
          <t>Production</t>
        </is>
      </c>
      <c r="D140" s="23" t="inlineStr">
        <is>
          <t>Charges sociales</t>
        </is>
      </c>
      <c r="E140" s="21" t="n">
        <v>66000</v>
      </c>
      <c r="F140" s="21" t="n">
        <v>61117</v>
      </c>
      <c r="G140" s="39">
        <f>F140-E140</f>
        <v/>
      </c>
      <c r="H140" s="40">
        <f>IF(E140=0,0,(F140-E140)/E140)</f>
        <v/>
      </c>
      <c r="I140" s="41">
        <f>IF(H140&gt;0.1,"⚠️ Dépassement",IF(H140&lt;-0.1,"✅ Économie","🔵 Normal"))</f>
        <v/>
      </c>
      <c r="J140" s="21">
        <f>SUMPRODUCT((B$3:B140=B140)*(C$3:C140=C140)*(D$3:D140=D140)*E$3:E140)</f>
        <v/>
      </c>
      <c r="K140" s="21">
        <f>SUMPRODUCT((B$3:B140=B140)*(C$3:C140=C140)*(D$3:D140=D140)*F$3:F140)</f>
        <v/>
      </c>
      <c r="L140" s="22">
        <f>IF(J140=0,0,K140/J140)</f>
        <v/>
      </c>
    </row>
    <row r="141">
      <c r="A141" s="37" t="inlineStr">
        <is>
          <t>Avril</t>
        </is>
      </c>
      <c r="B141" s="37" t="n">
        <v>4</v>
      </c>
      <c r="C141" s="37" t="inlineStr">
        <is>
          <t>Production</t>
        </is>
      </c>
      <c r="D141" s="37" t="inlineStr">
        <is>
          <t>Loyer &amp; Charges</t>
        </is>
      </c>
      <c r="E141" s="38" t="n">
        <v>35000</v>
      </c>
      <c r="F141" s="38" t="n">
        <v>40914</v>
      </c>
      <c r="G141" s="39">
        <f>F141-E141</f>
        <v/>
      </c>
      <c r="H141" s="40">
        <f>IF(E141=0,0,(F141-E141)/E141)</f>
        <v/>
      </c>
      <c r="I141" s="41">
        <f>IF(H141&gt;0.1,"⚠️ Dépassement",IF(H141&lt;-0.1,"✅ Économie","🔵 Normal"))</f>
        <v/>
      </c>
      <c r="J141" s="38">
        <f>SUMPRODUCT((B$3:B141=B141)*(C$3:C141=C141)*(D$3:D141=D141)*E$3:E141)</f>
        <v/>
      </c>
      <c r="K141" s="38">
        <f>SUMPRODUCT((B$3:B141=B141)*(C$3:C141=C141)*(D$3:D141=D141)*F$3:F141)</f>
        <v/>
      </c>
      <c r="L141" s="42">
        <f>IF(J141=0,0,K141/J141)</f>
        <v/>
      </c>
    </row>
    <row r="142">
      <c r="A142" s="23" t="inlineStr">
        <is>
          <t>Avril</t>
        </is>
      </c>
      <c r="B142" s="23" t="n">
        <v>4</v>
      </c>
      <c r="C142" s="23" t="inlineStr">
        <is>
          <t>Production</t>
        </is>
      </c>
      <c r="D142" s="23" t="inlineStr">
        <is>
          <t>Matières &amp; Fournitures</t>
        </is>
      </c>
      <c r="E142" s="21" t="n">
        <v>85000</v>
      </c>
      <c r="F142" s="21" t="n">
        <v>84087</v>
      </c>
      <c r="G142" s="39">
        <f>F142-E142</f>
        <v/>
      </c>
      <c r="H142" s="40">
        <f>IF(E142=0,0,(F142-E142)/E142)</f>
        <v/>
      </c>
      <c r="I142" s="41">
        <f>IF(H142&gt;0.1,"⚠️ Dépassement",IF(H142&lt;-0.1,"✅ Économie","🔵 Normal"))</f>
        <v/>
      </c>
      <c r="J142" s="21">
        <f>SUMPRODUCT((B$3:B142=B142)*(C$3:C142=C142)*(D$3:D142=D142)*E$3:E142)</f>
        <v/>
      </c>
      <c r="K142" s="21">
        <f>SUMPRODUCT((B$3:B142=B142)*(C$3:C142=C142)*(D$3:D142=D142)*F$3:F142)</f>
        <v/>
      </c>
      <c r="L142" s="22">
        <f>IF(J142=0,0,K142/J142)</f>
        <v/>
      </c>
    </row>
    <row r="143">
      <c r="A143" s="37" t="inlineStr">
        <is>
          <t>Avril</t>
        </is>
      </c>
      <c r="B143" s="37" t="n">
        <v>4</v>
      </c>
      <c r="C143" s="37" t="inlineStr">
        <is>
          <t>Production</t>
        </is>
      </c>
      <c r="D143" s="37" t="inlineStr">
        <is>
          <t>Informatique &amp; Licences</t>
        </is>
      </c>
      <c r="E143" s="38" t="n">
        <v>12000</v>
      </c>
      <c r="F143" s="38" t="n">
        <v>10857</v>
      </c>
      <c r="G143" s="39">
        <f>F143-E143</f>
        <v/>
      </c>
      <c r="H143" s="40">
        <f>IF(E143=0,0,(F143-E143)/E143)</f>
        <v/>
      </c>
      <c r="I143" s="41">
        <f>IF(H143&gt;0.1,"⚠️ Dépassement",IF(H143&lt;-0.1,"✅ Économie","🔵 Normal"))</f>
        <v/>
      </c>
      <c r="J143" s="38">
        <f>SUMPRODUCT((B$3:B143=B143)*(C$3:C143=C143)*(D$3:D143=D143)*E$3:E143)</f>
        <v/>
      </c>
      <c r="K143" s="38">
        <f>SUMPRODUCT((B$3:B143=B143)*(C$3:C143=C143)*(D$3:D143=D143)*F$3:F143)</f>
        <v/>
      </c>
      <c r="L143" s="42">
        <f>IF(J143=0,0,K143/J143)</f>
        <v/>
      </c>
    </row>
    <row r="144">
      <c r="A144" s="23" t="inlineStr">
        <is>
          <t>Avril</t>
        </is>
      </c>
      <c r="B144" s="23" t="n">
        <v>4</v>
      </c>
      <c r="C144" s="23" t="inlineStr">
        <is>
          <t>Production</t>
        </is>
      </c>
      <c r="D144" s="23" t="inlineStr">
        <is>
          <t>Déplacements &amp; Missions</t>
        </is>
      </c>
      <c r="E144" s="21" t="n">
        <v>10000</v>
      </c>
      <c r="F144" s="21" t="n">
        <v>10357</v>
      </c>
      <c r="G144" s="39">
        <f>F144-E144</f>
        <v/>
      </c>
      <c r="H144" s="40">
        <f>IF(E144=0,0,(F144-E144)/E144)</f>
        <v/>
      </c>
      <c r="I144" s="41">
        <f>IF(H144&gt;0.1,"⚠️ Dépassement",IF(H144&lt;-0.1,"✅ Économie","🔵 Normal"))</f>
        <v/>
      </c>
      <c r="J144" s="21">
        <f>SUMPRODUCT((B$3:B144=B144)*(C$3:C144=C144)*(D$3:D144=D144)*E$3:E144)</f>
        <v/>
      </c>
      <c r="K144" s="21">
        <f>SUMPRODUCT((B$3:B144=B144)*(C$3:C144=C144)*(D$3:D144=D144)*F$3:F144)</f>
        <v/>
      </c>
      <c r="L144" s="22">
        <f>IF(J144=0,0,K144/J144)</f>
        <v/>
      </c>
    </row>
    <row r="145">
      <c r="A145" s="37" t="inlineStr">
        <is>
          <t>Avril</t>
        </is>
      </c>
      <c r="B145" s="37" t="n">
        <v>4</v>
      </c>
      <c r="C145" s="37" t="inlineStr">
        <is>
          <t>Production</t>
        </is>
      </c>
      <c r="D145" s="37" t="inlineStr">
        <is>
          <t>Formation</t>
        </is>
      </c>
      <c r="E145" s="38" t="n">
        <v>15000</v>
      </c>
      <c r="F145" s="38" t="n">
        <v>16680</v>
      </c>
      <c r="G145" s="39">
        <f>F145-E145</f>
        <v/>
      </c>
      <c r="H145" s="40">
        <f>IF(E145=0,0,(F145-E145)/E145)</f>
        <v/>
      </c>
      <c r="I145" s="41">
        <f>IF(H145&gt;0.1,"⚠️ Dépassement",IF(H145&lt;-0.1,"✅ Économie","🔵 Normal"))</f>
        <v/>
      </c>
      <c r="J145" s="38">
        <f>SUMPRODUCT((B$3:B145=B145)*(C$3:C145=C145)*(D$3:D145=D145)*E$3:E145)</f>
        <v/>
      </c>
      <c r="K145" s="38">
        <f>SUMPRODUCT((B$3:B145=B145)*(C$3:C145=C145)*(D$3:D145=D145)*F$3:F145)</f>
        <v/>
      </c>
      <c r="L145" s="42">
        <f>IF(J145=0,0,K145/J145)</f>
        <v/>
      </c>
    </row>
    <row r="146">
      <c r="A146" s="23" t="inlineStr">
        <is>
          <t>Avril</t>
        </is>
      </c>
      <c r="B146" s="23" t="n">
        <v>4</v>
      </c>
      <c r="C146" s="23" t="inlineStr">
        <is>
          <t>Production</t>
        </is>
      </c>
      <c r="D146" s="23" t="inlineStr">
        <is>
          <t>Publicité &amp; Communication</t>
        </is>
      </c>
      <c r="E146" s="21" t="n">
        <v>5000</v>
      </c>
      <c r="F146" s="21" t="n">
        <v>4502</v>
      </c>
      <c r="G146" s="39">
        <f>F146-E146</f>
        <v/>
      </c>
      <c r="H146" s="40">
        <f>IF(E146=0,0,(F146-E146)/E146)</f>
        <v/>
      </c>
      <c r="I146" s="41">
        <f>IF(H146&gt;0.1,"⚠️ Dépassement",IF(H146&lt;-0.1,"✅ Économie","🔵 Normal"))</f>
        <v/>
      </c>
      <c r="J146" s="21">
        <f>SUMPRODUCT((B$3:B146=B146)*(C$3:C146=C146)*(D$3:D146=D146)*E$3:E146)</f>
        <v/>
      </c>
      <c r="K146" s="21">
        <f>SUMPRODUCT((B$3:B146=B146)*(C$3:C146=C146)*(D$3:D146=D146)*F$3:F146)</f>
        <v/>
      </c>
      <c r="L146" s="22">
        <f>IF(J146=0,0,K146/J146)</f>
        <v/>
      </c>
    </row>
    <row r="147">
      <c r="A147" s="37" t="inlineStr">
        <is>
          <t>Avril</t>
        </is>
      </c>
      <c r="B147" s="37" t="n">
        <v>4</v>
      </c>
      <c r="C147" s="37" t="inlineStr">
        <is>
          <t>IT</t>
        </is>
      </c>
      <c r="D147" s="37" t="inlineStr">
        <is>
          <t>Salaires</t>
        </is>
      </c>
      <c r="E147" s="38" t="n">
        <v>130000</v>
      </c>
      <c r="F147" s="38" t="n">
        <v>122809</v>
      </c>
      <c r="G147" s="39">
        <f>F147-E147</f>
        <v/>
      </c>
      <c r="H147" s="40">
        <f>IF(E147=0,0,(F147-E147)/E147)</f>
        <v/>
      </c>
      <c r="I147" s="41">
        <f>IF(H147&gt;0.1,"⚠️ Dépassement",IF(H147&lt;-0.1,"✅ Économie","🔵 Normal"))</f>
        <v/>
      </c>
      <c r="J147" s="38">
        <f>SUMPRODUCT((B$3:B147=B147)*(C$3:C147=C147)*(D$3:D147=D147)*E$3:E147)</f>
        <v/>
      </c>
      <c r="K147" s="38">
        <f>SUMPRODUCT((B$3:B147=B147)*(C$3:C147=C147)*(D$3:D147=D147)*F$3:F147)</f>
        <v/>
      </c>
      <c r="L147" s="42">
        <f>IF(J147=0,0,K147/J147)</f>
        <v/>
      </c>
    </row>
    <row r="148">
      <c r="A148" s="23" t="inlineStr">
        <is>
          <t>Avril</t>
        </is>
      </c>
      <c r="B148" s="23" t="n">
        <v>4</v>
      </c>
      <c r="C148" s="23" t="inlineStr">
        <is>
          <t>IT</t>
        </is>
      </c>
      <c r="D148" s="23" t="inlineStr">
        <is>
          <t>Charges sociales</t>
        </is>
      </c>
      <c r="E148" s="21" t="n">
        <v>39000</v>
      </c>
      <c r="F148" s="21" t="n">
        <v>47504</v>
      </c>
      <c r="G148" s="39">
        <f>F148-E148</f>
        <v/>
      </c>
      <c r="H148" s="40">
        <f>IF(E148=0,0,(F148-E148)/E148)</f>
        <v/>
      </c>
      <c r="I148" s="41">
        <f>IF(H148&gt;0.1,"⚠️ Dépassement",IF(H148&lt;-0.1,"✅ Économie","🔵 Normal"))</f>
        <v/>
      </c>
      <c r="J148" s="21">
        <f>SUMPRODUCT((B$3:B148=B148)*(C$3:C148=C148)*(D$3:D148=D148)*E$3:E148)</f>
        <v/>
      </c>
      <c r="K148" s="21">
        <f>SUMPRODUCT((B$3:B148=B148)*(C$3:C148=C148)*(D$3:D148=D148)*F$3:F148)</f>
        <v/>
      </c>
      <c r="L148" s="22">
        <f>IF(J148=0,0,K148/J148)</f>
        <v/>
      </c>
    </row>
    <row r="149">
      <c r="A149" s="37" t="inlineStr">
        <is>
          <t>Avril</t>
        </is>
      </c>
      <c r="B149" s="37" t="n">
        <v>4</v>
      </c>
      <c r="C149" s="37" t="inlineStr">
        <is>
          <t>IT</t>
        </is>
      </c>
      <c r="D149" s="37" t="inlineStr">
        <is>
          <t>Loyer &amp; Charges</t>
        </is>
      </c>
      <c r="E149" s="38" t="n">
        <v>10000</v>
      </c>
      <c r="F149" s="38" t="n">
        <v>10800</v>
      </c>
      <c r="G149" s="39">
        <f>F149-E149</f>
        <v/>
      </c>
      <c r="H149" s="40">
        <f>IF(E149=0,0,(F149-E149)/E149)</f>
        <v/>
      </c>
      <c r="I149" s="41">
        <f>IF(H149&gt;0.1,"⚠️ Dépassement",IF(H149&lt;-0.1,"✅ Économie","🔵 Normal"))</f>
        <v/>
      </c>
      <c r="J149" s="38">
        <f>SUMPRODUCT((B$3:B149=B149)*(C$3:C149=C149)*(D$3:D149=D149)*E$3:E149)</f>
        <v/>
      </c>
      <c r="K149" s="38">
        <f>SUMPRODUCT((B$3:B149=B149)*(C$3:C149=C149)*(D$3:D149=D149)*F$3:F149)</f>
        <v/>
      </c>
      <c r="L149" s="42">
        <f>IF(J149=0,0,K149/J149)</f>
        <v/>
      </c>
    </row>
    <row r="150">
      <c r="A150" s="23" t="inlineStr">
        <is>
          <t>Avril</t>
        </is>
      </c>
      <c r="B150" s="23" t="n">
        <v>4</v>
      </c>
      <c r="C150" s="23" t="inlineStr">
        <is>
          <t>IT</t>
        </is>
      </c>
      <c r="D150" s="23" t="inlineStr">
        <is>
          <t>Matières &amp; Fournitures</t>
        </is>
      </c>
      <c r="E150" s="21" t="n">
        <v>20000</v>
      </c>
      <c r="F150" s="21" t="n">
        <v>19905</v>
      </c>
      <c r="G150" s="39">
        <f>F150-E150</f>
        <v/>
      </c>
      <c r="H150" s="40">
        <f>IF(E150=0,0,(F150-E150)/E150)</f>
        <v/>
      </c>
      <c r="I150" s="41">
        <f>IF(H150&gt;0.1,"⚠️ Dépassement",IF(H150&lt;-0.1,"✅ Économie","🔵 Normal"))</f>
        <v/>
      </c>
      <c r="J150" s="21">
        <f>SUMPRODUCT((B$3:B150=B150)*(C$3:C150=C150)*(D$3:D150=D150)*E$3:E150)</f>
        <v/>
      </c>
      <c r="K150" s="21">
        <f>SUMPRODUCT((B$3:B150=B150)*(C$3:C150=C150)*(D$3:D150=D150)*F$3:F150)</f>
        <v/>
      </c>
      <c r="L150" s="22">
        <f>IF(J150=0,0,K150/J150)</f>
        <v/>
      </c>
    </row>
    <row r="151">
      <c r="A151" s="37" t="inlineStr">
        <is>
          <t>Avril</t>
        </is>
      </c>
      <c r="B151" s="37" t="n">
        <v>4</v>
      </c>
      <c r="C151" s="37" t="inlineStr">
        <is>
          <t>IT</t>
        </is>
      </c>
      <c r="D151" s="37" t="inlineStr">
        <is>
          <t>Informatique &amp; Licences</t>
        </is>
      </c>
      <c r="E151" s="38" t="n">
        <v>50000</v>
      </c>
      <c r="F151" s="38" t="n">
        <v>51352</v>
      </c>
      <c r="G151" s="39">
        <f>F151-E151</f>
        <v/>
      </c>
      <c r="H151" s="40">
        <f>IF(E151=0,0,(F151-E151)/E151)</f>
        <v/>
      </c>
      <c r="I151" s="41">
        <f>IF(H151&gt;0.1,"⚠️ Dépassement",IF(H151&lt;-0.1,"✅ Économie","🔵 Normal"))</f>
        <v/>
      </c>
      <c r="J151" s="38">
        <f>SUMPRODUCT((B$3:B151=B151)*(C$3:C151=C151)*(D$3:D151=D151)*E$3:E151)</f>
        <v/>
      </c>
      <c r="K151" s="38">
        <f>SUMPRODUCT((B$3:B151=B151)*(C$3:C151=C151)*(D$3:D151=D151)*F$3:F151)</f>
        <v/>
      </c>
      <c r="L151" s="42">
        <f>IF(J151=0,0,K151/J151)</f>
        <v/>
      </c>
    </row>
    <row r="152">
      <c r="A152" s="23" t="inlineStr">
        <is>
          <t>Avril</t>
        </is>
      </c>
      <c r="B152" s="23" t="n">
        <v>4</v>
      </c>
      <c r="C152" s="23" t="inlineStr">
        <is>
          <t>IT</t>
        </is>
      </c>
      <c r="D152" s="23" t="inlineStr">
        <is>
          <t>Déplacements &amp; Missions</t>
        </is>
      </c>
      <c r="E152" s="21" t="n">
        <v>8000</v>
      </c>
      <c r="F152" s="21" t="n">
        <v>6947</v>
      </c>
      <c r="G152" s="39">
        <f>F152-E152</f>
        <v/>
      </c>
      <c r="H152" s="40">
        <f>IF(E152=0,0,(F152-E152)/E152)</f>
        <v/>
      </c>
      <c r="I152" s="41">
        <f>IF(H152&gt;0.1,"⚠️ Dépassement",IF(H152&lt;-0.1,"✅ Économie","🔵 Normal"))</f>
        <v/>
      </c>
      <c r="J152" s="21">
        <f>SUMPRODUCT((B$3:B152=B152)*(C$3:C152=C152)*(D$3:D152=D152)*E$3:E152)</f>
        <v/>
      </c>
      <c r="K152" s="21">
        <f>SUMPRODUCT((B$3:B152=B152)*(C$3:C152=C152)*(D$3:D152=D152)*F$3:F152)</f>
        <v/>
      </c>
      <c r="L152" s="22">
        <f>IF(J152=0,0,K152/J152)</f>
        <v/>
      </c>
    </row>
    <row r="153">
      <c r="A153" s="37" t="inlineStr">
        <is>
          <t>Avril</t>
        </is>
      </c>
      <c r="B153" s="37" t="n">
        <v>4</v>
      </c>
      <c r="C153" s="37" t="inlineStr">
        <is>
          <t>IT</t>
        </is>
      </c>
      <c r="D153" s="37" t="inlineStr">
        <is>
          <t>Formation</t>
        </is>
      </c>
      <c r="E153" s="38" t="n">
        <v>18000</v>
      </c>
      <c r="F153" s="38" t="n">
        <v>16378</v>
      </c>
      <c r="G153" s="39">
        <f>F153-E153</f>
        <v/>
      </c>
      <c r="H153" s="40">
        <f>IF(E153=0,0,(F153-E153)/E153)</f>
        <v/>
      </c>
      <c r="I153" s="41">
        <f>IF(H153&gt;0.1,"⚠️ Dépassement",IF(H153&lt;-0.1,"✅ Économie","🔵 Normal"))</f>
        <v/>
      </c>
      <c r="J153" s="38">
        <f>SUMPRODUCT((B$3:B153=B153)*(C$3:C153=C153)*(D$3:D153=D153)*E$3:E153)</f>
        <v/>
      </c>
      <c r="K153" s="38">
        <f>SUMPRODUCT((B$3:B153=B153)*(C$3:C153=C153)*(D$3:D153=D153)*F$3:F153)</f>
        <v/>
      </c>
      <c r="L153" s="42">
        <f>IF(J153=0,0,K153/J153)</f>
        <v/>
      </c>
    </row>
    <row r="154">
      <c r="A154" s="23" t="inlineStr">
        <is>
          <t>Avril</t>
        </is>
      </c>
      <c r="B154" s="23" t="n">
        <v>4</v>
      </c>
      <c r="C154" s="23" t="inlineStr">
        <is>
          <t>IT</t>
        </is>
      </c>
      <c r="D154" s="23" t="inlineStr">
        <is>
          <t>Publicité &amp; Communication</t>
        </is>
      </c>
      <c r="E154" s="21" t="n">
        <v>4000</v>
      </c>
      <c r="F154" s="21" t="n">
        <v>3821</v>
      </c>
      <c r="G154" s="39">
        <f>F154-E154</f>
        <v/>
      </c>
      <c r="H154" s="40">
        <f>IF(E154=0,0,(F154-E154)/E154)</f>
        <v/>
      </c>
      <c r="I154" s="41">
        <f>IF(H154&gt;0.1,"⚠️ Dépassement",IF(H154&lt;-0.1,"✅ Économie","🔵 Normal"))</f>
        <v/>
      </c>
      <c r="J154" s="21">
        <f>SUMPRODUCT((B$3:B154=B154)*(C$3:C154=C154)*(D$3:D154=D154)*E$3:E154)</f>
        <v/>
      </c>
      <c r="K154" s="21">
        <f>SUMPRODUCT((B$3:B154=B154)*(C$3:C154=C154)*(D$3:D154=D154)*F$3:F154)</f>
        <v/>
      </c>
      <c r="L154" s="22">
        <f>IF(J154=0,0,K154/J154)</f>
        <v/>
      </c>
    </row>
    <row r="155">
      <c r="A155" s="37" t="inlineStr">
        <is>
          <t>Avril</t>
        </is>
      </c>
      <c r="B155" s="37" t="n">
        <v>4</v>
      </c>
      <c r="C155" s="37" t="inlineStr">
        <is>
          <t>Administration</t>
        </is>
      </c>
      <c r="D155" s="37" t="inlineStr">
        <is>
          <t>Salaires</t>
        </is>
      </c>
      <c r="E155" s="38" t="n">
        <v>75000</v>
      </c>
      <c r="F155" s="38" t="n">
        <v>79149</v>
      </c>
      <c r="G155" s="39">
        <f>F155-E155</f>
        <v/>
      </c>
      <c r="H155" s="40">
        <f>IF(E155=0,0,(F155-E155)/E155)</f>
        <v/>
      </c>
      <c r="I155" s="41">
        <f>IF(H155&gt;0.1,"⚠️ Dépassement",IF(H155&lt;-0.1,"✅ Économie","🔵 Normal"))</f>
        <v/>
      </c>
      <c r="J155" s="38">
        <f>SUMPRODUCT((B$3:B155=B155)*(C$3:C155=C155)*(D$3:D155=D155)*E$3:E155)</f>
        <v/>
      </c>
      <c r="K155" s="38">
        <f>SUMPRODUCT((B$3:B155=B155)*(C$3:C155=C155)*(D$3:D155=D155)*F$3:F155)</f>
        <v/>
      </c>
      <c r="L155" s="42">
        <f>IF(J155=0,0,K155/J155)</f>
        <v/>
      </c>
    </row>
    <row r="156">
      <c r="A156" s="23" t="inlineStr">
        <is>
          <t>Avril</t>
        </is>
      </c>
      <c r="B156" s="23" t="n">
        <v>4</v>
      </c>
      <c r="C156" s="23" t="inlineStr">
        <is>
          <t>Administration</t>
        </is>
      </c>
      <c r="D156" s="23" t="inlineStr">
        <is>
          <t>Charges sociales</t>
        </is>
      </c>
      <c r="E156" s="21" t="n">
        <v>22500</v>
      </c>
      <c r="F156" s="21" t="n">
        <v>20521</v>
      </c>
      <c r="G156" s="39">
        <f>F156-E156</f>
        <v/>
      </c>
      <c r="H156" s="40">
        <f>IF(E156=0,0,(F156-E156)/E156)</f>
        <v/>
      </c>
      <c r="I156" s="41">
        <f>IF(H156&gt;0.1,"⚠️ Dépassement",IF(H156&lt;-0.1,"✅ Économie","🔵 Normal"))</f>
        <v/>
      </c>
      <c r="J156" s="21">
        <f>SUMPRODUCT((B$3:B156=B156)*(C$3:C156=C156)*(D$3:D156=D156)*E$3:E156)</f>
        <v/>
      </c>
      <c r="K156" s="21">
        <f>SUMPRODUCT((B$3:B156=B156)*(C$3:C156=C156)*(D$3:D156=D156)*F$3:F156)</f>
        <v/>
      </c>
      <c r="L156" s="22">
        <f>IF(J156=0,0,K156/J156)</f>
        <v/>
      </c>
    </row>
    <row r="157">
      <c r="A157" s="37" t="inlineStr">
        <is>
          <t>Avril</t>
        </is>
      </c>
      <c r="B157" s="37" t="n">
        <v>4</v>
      </c>
      <c r="C157" s="37" t="inlineStr">
        <is>
          <t>Administration</t>
        </is>
      </c>
      <c r="D157" s="37" t="inlineStr">
        <is>
          <t>Loyer &amp; Charges</t>
        </is>
      </c>
      <c r="E157" s="38" t="n">
        <v>18000</v>
      </c>
      <c r="F157" s="38" t="n">
        <v>16346</v>
      </c>
      <c r="G157" s="39">
        <f>F157-E157</f>
        <v/>
      </c>
      <c r="H157" s="40">
        <f>IF(E157=0,0,(F157-E157)/E157)</f>
        <v/>
      </c>
      <c r="I157" s="41">
        <f>IF(H157&gt;0.1,"⚠️ Dépassement",IF(H157&lt;-0.1,"✅ Économie","🔵 Normal"))</f>
        <v/>
      </c>
      <c r="J157" s="38">
        <f>SUMPRODUCT((B$3:B157=B157)*(C$3:C157=C157)*(D$3:D157=D157)*E$3:E157)</f>
        <v/>
      </c>
      <c r="K157" s="38">
        <f>SUMPRODUCT((B$3:B157=B157)*(C$3:C157=C157)*(D$3:D157=D157)*F$3:F157)</f>
        <v/>
      </c>
      <c r="L157" s="42">
        <f>IF(J157=0,0,K157/J157)</f>
        <v/>
      </c>
    </row>
    <row r="158">
      <c r="A158" s="23" t="inlineStr">
        <is>
          <t>Avril</t>
        </is>
      </c>
      <c r="B158" s="23" t="n">
        <v>4</v>
      </c>
      <c r="C158" s="23" t="inlineStr">
        <is>
          <t>Administration</t>
        </is>
      </c>
      <c r="D158" s="23" t="inlineStr">
        <is>
          <t>Matières &amp; Fournitures</t>
        </is>
      </c>
      <c r="E158" s="21" t="n">
        <v>12000</v>
      </c>
      <c r="F158" s="21" t="n">
        <v>10181</v>
      </c>
      <c r="G158" s="39">
        <f>F158-E158</f>
        <v/>
      </c>
      <c r="H158" s="40">
        <f>IF(E158=0,0,(F158-E158)/E158)</f>
        <v/>
      </c>
      <c r="I158" s="41">
        <f>IF(H158&gt;0.1,"⚠️ Dépassement",IF(H158&lt;-0.1,"✅ Économie","🔵 Normal"))</f>
        <v/>
      </c>
      <c r="J158" s="21">
        <f>SUMPRODUCT((B$3:B158=B158)*(C$3:C158=C158)*(D$3:D158=D158)*E$3:E158)</f>
        <v/>
      </c>
      <c r="K158" s="21">
        <f>SUMPRODUCT((B$3:B158=B158)*(C$3:C158=C158)*(D$3:D158=D158)*F$3:F158)</f>
        <v/>
      </c>
      <c r="L158" s="22">
        <f>IF(J158=0,0,K158/J158)</f>
        <v/>
      </c>
    </row>
    <row r="159">
      <c r="A159" s="37" t="inlineStr">
        <is>
          <t>Avril</t>
        </is>
      </c>
      <c r="B159" s="37" t="n">
        <v>4</v>
      </c>
      <c r="C159" s="37" t="inlineStr">
        <is>
          <t>Administration</t>
        </is>
      </c>
      <c r="D159" s="37" t="inlineStr">
        <is>
          <t>Informatique &amp; Licences</t>
        </is>
      </c>
      <c r="E159" s="38" t="n">
        <v>6000</v>
      </c>
      <c r="F159" s="38" t="n">
        <v>6435</v>
      </c>
      <c r="G159" s="39">
        <f>F159-E159</f>
        <v/>
      </c>
      <c r="H159" s="40">
        <f>IF(E159=0,0,(F159-E159)/E159)</f>
        <v/>
      </c>
      <c r="I159" s="41">
        <f>IF(H159&gt;0.1,"⚠️ Dépassement",IF(H159&lt;-0.1,"✅ Économie","🔵 Normal"))</f>
        <v/>
      </c>
      <c r="J159" s="38">
        <f>SUMPRODUCT((B$3:B159=B159)*(C$3:C159=C159)*(D$3:D159=D159)*E$3:E159)</f>
        <v/>
      </c>
      <c r="K159" s="38">
        <f>SUMPRODUCT((B$3:B159=B159)*(C$3:C159=C159)*(D$3:D159=D159)*F$3:F159)</f>
        <v/>
      </c>
      <c r="L159" s="42">
        <f>IF(J159=0,0,K159/J159)</f>
        <v/>
      </c>
    </row>
    <row r="160">
      <c r="A160" s="23" t="inlineStr">
        <is>
          <t>Avril</t>
        </is>
      </c>
      <c r="B160" s="23" t="n">
        <v>4</v>
      </c>
      <c r="C160" s="23" t="inlineStr">
        <is>
          <t>Administration</t>
        </is>
      </c>
      <c r="D160" s="23" t="inlineStr">
        <is>
          <t>Déplacements &amp; Missions</t>
        </is>
      </c>
      <c r="E160" s="21" t="n">
        <v>9000</v>
      </c>
      <c r="F160" s="21" t="n">
        <v>8204</v>
      </c>
      <c r="G160" s="39">
        <f>F160-E160</f>
        <v/>
      </c>
      <c r="H160" s="40">
        <f>IF(E160=0,0,(F160-E160)/E160)</f>
        <v/>
      </c>
      <c r="I160" s="41">
        <f>IF(H160&gt;0.1,"⚠️ Dépassement",IF(H160&lt;-0.1,"✅ Économie","🔵 Normal"))</f>
        <v/>
      </c>
      <c r="J160" s="21">
        <f>SUMPRODUCT((B$3:B160=B160)*(C$3:C160=C160)*(D$3:D160=D160)*E$3:E160)</f>
        <v/>
      </c>
      <c r="K160" s="21">
        <f>SUMPRODUCT((B$3:B160=B160)*(C$3:C160=C160)*(D$3:D160=D160)*F$3:F160)</f>
        <v/>
      </c>
      <c r="L160" s="22">
        <f>IF(J160=0,0,K160/J160)</f>
        <v/>
      </c>
    </row>
    <row r="161">
      <c r="A161" s="37" t="inlineStr">
        <is>
          <t>Avril</t>
        </is>
      </c>
      <c r="B161" s="37" t="n">
        <v>4</v>
      </c>
      <c r="C161" s="37" t="inlineStr">
        <is>
          <t>Administration</t>
        </is>
      </c>
      <c r="D161" s="37" t="inlineStr">
        <is>
          <t>Formation</t>
        </is>
      </c>
      <c r="E161" s="38" t="n">
        <v>5000</v>
      </c>
      <c r="F161" s="38" t="n">
        <v>5911</v>
      </c>
      <c r="G161" s="39">
        <f>F161-E161</f>
        <v/>
      </c>
      <c r="H161" s="40">
        <f>IF(E161=0,0,(F161-E161)/E161)</f>
        <v/>
      </c>
      <c r="I161" s="41">
        <f>IF(H161&gt;0.1,"⚠️ Dépassement",IF(H161&lt;-0.1,"✅ Économie","🔵 Normal"))</f>
        <v/>
      </c>
      <c r="J161" s="38">
        <f>SUMPRODUCT((B$3:B161=B161)*(C$3:C161=C161)*(D$3:D161=D161)*E$3:E161)</f>
        <v/>
      </c>
      <c r="K161" s="38">
        <f>SUMPRODUCT((B$3:B161=B161)*(C$3:C161=C161)*(D$3:D161=D161)*F$3:F161)</f>
        <v/>
      </c>
      <c r="L161" s="42">
        <f>IF(J161=0,0,K161/J161)</f>
        <v/>
      </c>
    </row>
    <row r="162">
      <c r="A162" s="23" t="inlineStr">
        <is>
          <t>Avril</t>
        </is>
      </c>
      <c r="B162" s="23" t="n">
        <v>4</v>
      </c>
      <c r="C162" s="23" t="inlineStr">
        <is>
          <t>Administration</t>
        </is>
      </c>
      <c r="D162" s="23" t="inlineStr">
        <is>
          <t>Publicité &amp; Communication</t>
        </is>
      </c>
      <c r="E162" s="21" t="n">
        <v>2000</v>
      </c>
      <c r="F162" s="21" t="n">
        <v>2328</v>
      </c>
      <c r="G162" s="39">
        <f>F162-E162</f>
        <v/>
      </c>
      <c r="H162" s="40">
        <f>IF(E162=0,0,(F162-E162)/E162)</f>
        <v/>
      </c>
      <c r="I162" s="41">
        <f>IF(H162&gt;0.1,"⚠️ Dépassement",IF(H162&lt;-0.1,"✅ Économie","🔵 Normal"))</f>
        <v/>
      </c>
      <c r="J162" s="21">
        <f>SUMPRODUCT((B$3:B162=B162)*(C$3:C162=C162)*(D$3:D162=D162)*E$3:E162)</f>
        <v/>
      </c>
      <c r="K162" s="21">
        <f>SUMPRODUCT((B$3:B162=B162)*(C$3:C162=C162)*(D$3:D162=D162)*F$3:F162)</f>
        <v/>
      </c>
      <c r="L162" s="22">
        <f>IF(J162=0,0,K162/J162)</f>
        <v/>
      </c>
    </row>
    <row r="163">
      <c r="A163" s="37" t="inlineStr">
        <is>
          <t>Mai</t>
        </is>
      </c>
      <c r="B163" s="37" t="n">
        <v>5</v>
      </c>
      <c r="C163" s="37" t="inlineStr">
        <is>
          <t>RH</t>
        </is>
      </c>
      <c r="D163" s="37" t="inlineStr">
        <is>
          <t>Salaires</t>
        </is>
      </c>
      <c r="E163" s="38" t="n">
        <v>180000</v>
      </c>
      <c r="F163" s="38" t="n">
        <v>152702</v>
      </c>
      <c r="G163" s="39">
        <f>F163-E163</f>
        <v/>
      </c>
      <c r="H163" s="40">
        <f>IF(E163=0,0,(F163-E163)/E163)</f>
        <v/>
      </c>
      <c r="I163" s="41">
        <f>IF(H163&gt;0.1,"⚠️ Dépassement",IF(H163&lt;-0.1,"✅ Économie","🔵 Normal"))</f>
        <v/>
      </c>
      <c r="J163" s="38">
        <f>SUMPRODUCT((B$3:B163=B163)*(C$3:C163=C163)*(D$3:D163=D163)*E$3:E163)</f>
        <v/>
      </c>
      <c r="K163" s="38">
        <f>SUMPRODUCT((B$3:B163=B163)*(C$3:C163=C163)*(D$3:D163=D163)*F$3:F163)</f>
        <v/>
      </c>
      <c r="L163" s="42">
        <f>IF(J163=0,0,K163/J163)</f>
        <v/>
      </c>
    </row>
    <row r="164">
      <c r="A164" s="23" t="inlineStr">
        <is>
          <t>Mai</t>
        </is>
      </c>
      <c r="B164" s="23" t="n">
        <v>5</v>
      </c>
      <c r="C164" s="23" t="inlineStr">
        <is>
          <t>RH</t>
        </is>
      </c>
      <c r="D164" s="23" t="inlineStr">
        <is>
          <t>Charges sociales</t>
        </is>
      </c>
      <c r="E164" s="21" t="n">
        <v>54000</v>
      </c>
      <c r="F164" s="21" t="n">
        <v>49421</v>
      </c>
      <c r="G164" s="39">
        <f>F164-E164</f>
        <v/>
      </c>
      <c r="H164" s="40">
        <f>IF(E164=0,0,(F164-E164)/E164)</f>
        <v/>
      </c>
      <c r="I164" s="41">
        <f>IF(H164&gt;0.1,"⚠️ Dépassement",IF(H164&lt;-0.1,"✅ Économie","🔵 Normal"))</f>
        <v/>
      </c>
      <c r="J164" s="21">
        <f>SUMPRODUCT((B$3:B164=B164)*(C$3:C164=C164)*(D$3:D164=D164)*E$3:E164)</f>
        <v/>
      </c>
      <c r="K164" s="21">
        <f>SUMPRODUCT((B$3:B164=B164)*(C$3:C164=C164)*(D$3:D164=D164)*F$3:F164)</f>
        <v/>
      </c>
      <c r="L164" s="22">
        <f>IF(J164=0,0,K164/J164)</f>
        <v/>
      </c>
    </row>
    <row r="165">
      <c r="A165" s="37" t="inlineStr">
        <is>
          <t>Mai</t>
        </is>
      </c>
      <c r="B165" s="37" t="n">
        <v>5</v>
      </c>
      <c r="C165" s="37" t="inlineStr">
        <is>
          <t>RH</t>
        </is>
      </c>
      <c r="D165" s="37" t="inlineStr">
        <is>
          <t>Loyer &amp; Charges</t>
        </is>
      </c>
      <c r="E165" s="38" t="n">
        <v>15000</v>
      </c>
      <c r="F165" s="38" t="n">
        <v>16314</v>
      </c>
      <c r="G165" s="39">
        <f>F165-E165</f>
        <v/>
      </c>
      <c r="H165" s="40">
        <f>IF(E165=0,0,(F165-E165)/E165)</f>
        <v/>
      </c>
      <c r="I165" s="41">
        <f>IF(H165&gt;0.1,"⚠️ Dépassement",IF(H165&lt;-0.1,"✅ Économie","🔵 Normal"))</f>
        <v/>
      </c>
      <c r="J165" s="38">
        <f>SUMPRODUCT((B$3:B165=B165)*(C$3:C165=C165)*(D$3:D165=D165)*E$3:E165)</f>
        <v/>
      </c>
      <c r="K165" s="38">
        <f>SUMPRODUCT((B$3:B165=B165)*(C$3:C165=C165)*(D$3:D165=D165)*F$3:F165)</f>
        <v/>
      </c>
      <c r="L165" s="42">
        <f>IF(J165=0,0,K165/J165)</f>
        <v/>
      </c>
    </row>
    <row r="166">
      <c r="A166" s="23" t="inlineStr">
        <is>
          <t>Mai</t>
        </is>
      </c>
      <c r="B166" s="23" t="n">
        <v>5</v>
      </c>
      <c r="C166" s="23" t="inlineStr">
        <is>
          <t>RH</t>
        </is>
      </c>
      <c r="D166" s="23" t="inlineStr">
        <is>
          <t>Matières &amp; Fournitures</t>
        </is>
      </c>
      <c r="E166" s="21" t="n">
        <v>8000</v>
      </c>
      <c r="F166" s="21" t="n">
        <v>7246</v>
      </c>
      <c r="G166" s="39">
        <f>F166-E166</f>
        <v/>
      </c>
      <c r="H166" s="40">
        <f>IF(E166=0,0,(F166-E166)/E166)</f>
        <v/>
      </c>
      <c r="I166" s="41">
        <f>IF(H166&gt;0.1,"⚠️ Dépassement",IF(H166&lt;-0.1,"✅ Économie","🔵 Normal"))</f>
        <v/>
      </c>
      <c r="J166" s="21">
        <f>SUMPRODUCT((B$3:B166=B166)*(C$3:C166=C166)*(D$3:D166=D166)*E$3:E166)</f>
        <v/>
      </c>
      <c r="K166" s="21">
        <f>SUMPRODUCT((B$3:B166=B166)*(C$3:C166=C166)*(D$3:D166=D166)*F$3:F166)</f>
        <v/>
      </c>
      <c r="L166" s="22">
        <f>IF(J166=0,0,K166/J166)</f>
        <v/>
      </c>
    </row>
    <row r="167">
      <c r="A167" s="37" t="inlineStr">
        <is>
          <t>Mai</t>
        </is>
      </c>
      <c r="B167" s="37" t="n">
        <v>5</v>
      </c>
      <c r="C167" s="37" t="inlineStr">
        <is>
          <t>RH</t>
        </is>
      </c>
      <c r="D167" s="37" t="inlineStr">
        <is>
          <t>Informatique &amp; Licences</t>
        </is>
      </c>
      <c r="E167" s="38" t="n">
        <v>5000</v>
      </c>
      <c r="F167" s="38" t="n">
        <v>4365</v>
      </c>
      <c r="G167" s="39">
        <f>F167-E167</f>
        <v/>
      </c>
      <c r="H167" s="40">
        <f>IF(E167=0,0,(F167-E167)/E167)</f>
        <v/>
      </c>
      <c r="I167" s="41">
        <f>IF(H167&gt;0.1,"⚠️ Dépassement",IF(H167&lt;-0.1,"✅ Économie","🔵 Normal"))</f>
        <v/>
      </c>
      <c r="J167" s="38">
        <f>SUMPRODUCT((B$3:B167=B167)*(C$3:C167=C167)*(D$3:D167=D167)*E$3:E167)</f>
        <v/>
      </c>
      <c r="K167" s="38">
        <f>SUMPRODUCT((B$3:B167=B167)*(C$3:C167=C167)*(D$3:D167=D167)*F$3:F167)</f>
        <v/>
      </c>
      <c r="L167" s="42">
        <f>IF(J167=0,0,K167/J167)</f>
        <v/>
      </c>
    </row>
    <row r="168">
      <c r="A168" s="23" t="inlineStr">
        <is>
          <t>Mai</t>
        </is>
      </c>
      <c r="B168" s="23" t="n">
        <v>5</v>
      </c>
      <c r="C168" s="23" t="inlineStr">
        <is>
          <t>RH</t>
        </is>
      </c>
      <c r="D168" s="23" t="inlineStr">
        <is>
          <t>Déplacements &amp; Missions</t>
        </is>
      </c>
      <c r="E168" s="21" t="n">
        <v>7000</v>
      </c>
      <c r="F168" s="21" t="n">
        <v>8359</v>
      </c>
      <c r="G168" s="39">
        <f>F168-E168</f>
        <v/>
      </c>
      <c r="H168" s="40">
        <f>IF(E168=0,0,(F168-E168)/E168)</f>
        <v/>
      </c>
      <c r="I168" s="41">
        <f>IF(H168&gt;0.1,"⚠️ Dépassement",IF(H168&lt;-0.1,"✅ Économie","🔵 Normal"))</f>
        <v/>
      </c>
      <c r="J168" s="21">
        <f>SUMPRODUCT((B$3:B168=B168)*(C$3:C168=C168)*(D$3:D168=D168)*E$3:E168)</f>
        <v/>
      </c>
      <c r="K168" s="21">
        <f>SUMPRODUCT((B$3:B168=B168)*(C$3:C168=C168)*(D$3:D168=D168)*F$3:F168)</f>
        <v/>
      </c>
      <c r="L168" s="22">
        <f>IF(J168=0,0,K168/J168)</f>
        <v/>
      </c>
    </row>
    <row r="169">
      <c r="A169" s="37" t="inlineStr">
        <is>
          <t>Mai</t>
        </is>
      </c>
      <c r="B169" s="37" t="n">
        <v>5</v>
      </c>
      <c r="C169" s="37" t="inlineStr">
        <is>
          <t>RH</t>
        </is>
      </c>
      <c r="D169" s="37" t="inlineStr">
        <is>
          <t>Formation</t>
        </is>
      </c>
      <c r="E169" s="38" t="n">
        <v>20000</v>
      </c>
      <c r="F169" s="38" t="n">
        <v>20968</v>
      </c>
      <c r="G169" s="39">
        <f>F169-E169</f>
        <v/>
      </c>
      <c r="H169" s="40">
        <f>IF(E169=0,0,(F169-E169)/E169)</f>
        <v/>
      </c>
      <c r="I169" s="41">
        <f>IF(H169&gt;0.1,"⚠️ Dépassement",IF(H169&lt;-0.1,"✅ Économie","🔵 Normal"))</f>
        <v/>
      </c>
      <c r="J169" s="38">
        <f>SUMPRODUCT((B$3:B169=B169)*(C$3:C169=C169)*(D$3:D169=D169)*E$3:E169)</f>
        <v/>
      </c>
      <c r="K169" s="38">
        <f>SUMPRODUCT((B$3:B169=B169)*(C$3:C169=C169)*(D$3:D169=D169)*F$3:F169)</f>
        <v/>
      </c>
      <c r="L169" s="42">
        <f>IF(J169=0,0,K169/J169)</f>
        <v/>
      </c>
    </row>
    <row r="170">
      <c r="A170" s="23" t="inlineStr">
        <is>
          <t>Mai</t>
        </is>
      </c>
      <c r="B170" s="23" t="n">
        <v>5</v>
      </c>
      <c r="C170" s="23" t="inlineStr">
        <is>
          <t>RH</t>
        </is>
      </c>
      <c r="D170" s="23" t="inlineStr">
        <is>
          <t>Publicité &amp; Communication</t>
        </is>
      </c>
      <c r="E170" s="21" t="n">
        <v>3000</v>
      </c>
      <c r="F170" s="21" t="n">
        <v>3027</v>
      </c>
      <c r="G170" s="39">
        <f>F170-E170</f>
        <v/>
      </c>
      <c r="H170" s="40">
        <f>IF(E170=0,0,(F170-E170)/E170)</f>
        <v/>
      </c>
      <c r="I170" s="41">
        <f>IF(H170&gt;0.1,"⚠️ Dépassement",IF(H170&lt;-0.1,"✅ Économie","🔵 Normal"))</f>
        <v/>
      </c>
      <c r="J170" s="21">
        <f>SUMPRODUCT((B$3:B170=B170)*(C$3:C170=C170)*(D$3:D170=D170)*E$3:E170)</f>
        <v/>
      </c>
      <c r="K170" s="21">
        <f>SUMPRODUCT((B$3:B170=B170)*(C$3:C170=C170)*(D$3:D170=D170)*F$3:F170)</f>
        <v/>
      </c>
      <c r="L170" s="22">
        <f>IF(J170=0,0,K170/J170)</f>
        <v/>
      </c>
    </row>
    <row r="171">
      <c r="A171" s="37" t="inlineStr">
        <is>
          <t>Mai</t>
        </is>
      </c>
      <c r="B171" s="37" t="n">
        <v>5</v>
      </c>
      <c r="C171" s="37" t="inlineStr">
        <is>
          <t>Marketing</t>
        </is>
      </c>
      <c r="D171" s="37" t="inlineStr">
        <is>
          <t>Salaires</t>
        </is>
      </c>
      <c r="E171" s="38" t="n">
        <v>95000</v>
      </c>
      <c r="F171" s="38" t="n">
        <v>107716</v>
      </c>
      <c r="G171" s="39">
        <f>F171-E171</f>
        <v/>
      </c>
      <c r="H171" s="40">
        <f>IF(E171=0,0,(F171-E171)/E171)</f>
        <v/>
      </c>
      <c r="I171" s="41">
        <f>IF(H171&gt;0.1,"⚠️ Dépassement",IF(H171&lt;-0.1,"✅ Économie","🔵 Normal"))</f>
        <v/>
      </c>
      <c r="J171" s="38">
        <f>SUMPRODUCT((B$3:B171=B171)*(C$3:C171=C171)*(D$3:D171=D171)*E$3:E171)</f>
        <v/>
      </c>
      <c r="K171" s="38">
        <f>SUMPRODUCT((B$3:B171=B171)*(C$3:C171=C171)*(D$3:D171=D171)*F$3:F171)</f>
        <v/>
      </c>
      <c r="L171" s="42">
        <f>IF(J171=0,0,K171/J171)</f>
        <v/>
      </c>
    </row>
    <row r="172">
      <c r="A172" s="23" t="inlineStr">
        <is>
          <t>Mai</t>
        </is>
      </c>
      <c r="B172" s="23" t="n">
        <v>5</v>
      </c>
      <c r="C172" s="23" t="inlineStr">
        <is>
          <t>Marketing</t>
        </is>
      </c>
      <c r="D172" s="23" t="inlineStr">
        <is>
          <t>Charges sociales</t>
        </is>
      </c>
      <c r="E172" s="21" t="n">
        <v>28500</v>
      </c>
      <c r="F172" s="21" t="n">
        <v>32575</v>
      </c>
      <c r="G172" s="39">
        <f>F172-E172</f>
        <v/>
      </c>
      <c r="H172" s="40">
        <f>IF(E172=0,0,(F172-E172)/E172)</f>
        <v/>
      </c>
      <c r="I172" s="41">
        <f>IF(H172&gt;0.1,"⚠️ Dépassement",IF(H172&lt;-0.1,"✅ Économie","🔵 Normal"))</f>
        <v/>
      </c>
      <c r="J172" s="21">
        <f>SUMPRODUCT((B$3:B172=B172)*(C$3:C172=C172)*(D$3:D172=D172)*E$3:E172)</f>
        <v/>
      </c>
      <c r="K172" s="21">
        <f>SUMPRODUCT((B$3:B172=B172)*(C$3:C172=C172)*(D$3:D172=D172)*F$3:F172)</f>
        <v/>
      </c>
      <c r="L172" s="22">
        <f>IF(J172=0,0,K172/J172)</f>
        <v/>
      </c>
    </row>
    <row r="173">
      <c r="A173" s="37" t="inlineStr">
        <is>
          <t>Mai</t>
        </is>
      </c>
      <c r="B173" s="37" t="n">
        <v>5</v>
      </c>
      <c r="C173" s="37" t="inlineStr">
        <is>
          <t>Marketing</t>
        </is>
      </c>
      <c r="D173" s="37" t="inlineStr">
        <is>
          <t>Loyer &amp; Charges</t>
        </is>
      </c>
      <c r="E173" s="38" t="n">
        <v>12000</v>
      </c>
      <c r="F173" s="38" t="n">
        <v>10754</v>
      </c>
      <c r="G173" s="39">
        <f>F173-E173</f>
        <v/>
      </c>
      <c r="H173" s="40">
        <f>IF(E173=0,0,(F173-E173)/E173)</f>
        <v/>
      </c>
      <c r="I173" s="41">
        <f>IF(H173&gt;0.1,"⚠️ Dépassement",IF(H173&lt;-0.1,"✅ Économie","🔵 Normal"))</f>
        <v/>
      </c>
      <c r="J173" s="38">
        <f>SUMPRODUCT((B$3:B173=B173)*(C$3:C173=C173)*(D$3:D173=D173)*E$3:E173)</f>
        <v/>
      </c>
      <c r="K173" s="38">
        <f>SUMPRODUCT((B$3:B173=B173)*(C$3:C173=C173)*(D$3:D173=D173)*F$3:F173)</f>
        <v/>
      </c>
      <c r="L173" s="42">
        <f>IF(J173=0,0,K173/J173)</f>
        <v/>
      </c>
    </row>
    <row r="174">
      <c r="A174" s="23" t="inlineStr">
        <is>
          <t>Mai</t>
        </is>
      </c>
      <c r="B174" s="23" t="n">
        <v>5</v>
      </c>
      <c r="C174" s="23" t="inlineStr">
        <is>
          <t>Marketing</t>
        </is>
      </c>
      <c r="D174" s="23" t="inlineStr">
        <is>
          <t>Matières &amp; Fournitures</t>
        </is>
      </c>
      <c r="E174" s="21" t="n">
        <v>6000</v>
      </c>
      <c r="F174" s="21" t="n">
        <v>5153</v>
      </c>
      <c r="G174" s="39">
        <f>F174-E174</f>
        <v/>
      </c>
      <c r="H174" s="40">
        <f>IF(E174=0,0,(F174-E174)/E174)</f>
        <v/>
      </c>
      <c r="I174" s="41">
        <f>IF(H174&gt;0.1,"⚠️ Dépassement",IF(H174&lt;-0.1,"✅ Économie","🔵 Normal"))</f>
        <v/>
      </c>
      <c r="J174" s="21">
        <f>SUMPRODUCT((B$3:B174=B174)*(C$3:C174=C174)*(D$3:D174=D174)*E$3:E174)</f>
        <v/>
      </c>
      <c r="K174" s="21">
        <f>SUMPRODUCT((B$3:B174=B174)*(C$3:C174=C174)*(D$3:D174=D174)*F$3:F174)</f>
        <v/>
      </c>
      <c r="L174" s="22">
        <f>IF(J174=0,0,K174/J174)</f>
        <v/>
      </c>
    </row>
    <row r="175">
      <c r="A175" s="37" t="inlineStr">
        <is>
          <t>Mai</t>
        </is>
      </c>
      <c r="B175" s="37" t="n">
        <v>5</v>
      </c>
      <c r="C175" s="37" t="inlineStr">
        <is>
          <t>Marketing</t>
        </is>
      </c>
      <c r="D175" s="37" t="inlineStr">
        <is>
          <t>Informatique &amp; Licences</t>
        </is>
      </c>
      <c r="E175" s="38" t="n">
        <v>8000</v>
      </c>
      <c r="F175" s="38" t="n">
        <v>7939</v>
      </c>
      <c r="G175" s="39">
        <f>F175-E175</f>
        <v/>
      </c>
      <c r="H175" s="40">
        <f>IF(E175=0,0,(F175-E175)/E175)</f>
        <v/>
      </c>
      <c r="I175" s="41">
        <f>IF(H175&gt;0.1,"⚠️ Dépassement",IF(H175&lt;-0.1,"✅ Économie","🔵 Normal"))</f>
        <v/>
      </c>
      <c r="J175" s="38">
        <f>SUMPRODUCT((B$3:B175=B175)*(C$3:C175=C175)*(D$3:D175=D175)*E$3:E175)</f>
        <v/>
      </c>
      <c r="K175" s="38">
        <f>SUMPRODUCT((B$3:B175=B175)*(C$3:C175=C175)*(D$3:D175=D175)*F$3:F175)</f>
        <v/>
      </c>
      <c r="L175" s="42">
        <f>IF(J175=0,0,K175/J175)</f>
        <v/>
      </c>
    </row>
    <row r="176">
      <c r="A176" s="23" t="inlineStr">
        <is>
          <t>Mai</t>
        </is>
      </c>
      <c r="B176" s="23" t="n">
        <v>5</v>
      </c>
      <c r="C176" s="23" t="inlineStr">
        <is>
          <t>Marketing</t>
        </is>
      </c>
      <c r="D176" s="23" t="inlineStr">
        <is>
          <t>Déplacements &amp; Missions</t>
        </is>
      </c>
      <c r="E176" s="21" t="n">
        <v>15000</v>
      </c>
      <c r="F176" s="21" t="n">
        <v>14841</v>
      </c>
      <c r="G176" s="39">
        <f>F176-E176</f>
        <v/>
      </c>
      <c r="H176" s="40">
        <f>IF(E176=0,0,(F176-E176)/E176)</f>
        <v/>
      </c>
      <c r="I176" s="41">
        <f>IF(H176&gt;0.1,"⚠️ Dépassement",IF(H176&lt;-0.1,"✅ Économie","🔵 Normal"))</f>
        <v/>
      </c>
      <c r="J176" s="21">
        <f>SUMPRODUCT((B$3:B176=B176)*(C$3:C176=C176)*(D$3:D176=D176)*E$3:E176)</f>
        <v/>
      </c>
      <c r="K176" s="21">
        <f>SUMPRODUCT((B$3:B176=B176)*(C$3:C176=C176)*(D$3:D176=D176)*F$3:F176)</f>
        <v/>
      </c>
      <c r="L176" s="22">
        <f>IF(J176=0,0,K176/J176)</f>
        <v/>
      </c>
    </row>
    <row r="177">
      <c r="A177" s="37" t="inlineStr">
        <is>
          <t>Mai</t>
        </is>
      </c>
      <c r="B177" s="37" t="n">
        <v>5</v>
      </c>
      <c r="C177" s="37" t="inlineStr">
        <is>
          <t>Marketing</t>
        </is>
      </c>
      <c r="D177" s="37" t="inlineStr">
        <is>
          <t>Formation</t>
        </is>
      </c>
      <c r="E177" s="38" t="n">
        <v>8000</v>
      </c>
      <c r="F177" s="38" t="n">
        <v>8054</v>
      </c>
      <c r="G177" s="39">
        <f>F177-E177</f>
        <v/>
      </c>
      <c r="H177" s="40">
        <f>IF(E177=0,0,(F177-E177)/E177)</f>
        <v/>
      </c>
      <c r="I177" s="41">
        <f>IF(H177&gt;0.1,"⚠️ Dépassement",IF(H177&lt;-0.1,"✅ Économie","🔵 Normal"))</f>
        <v/>
      </c>
      <c r="J177" s="38">
        <f>SUMPRODUCT((B$3:B177=B177)*(C$3:C177=C177)*(D$3:D177=D177)*E$3:E177)</f>
        <v/>
      </c>
      <c r="K177" s="38">
        <f>SUMPRODUCT((B$3:B177=B177)*(C$3:C177=C177)*(D$3:D177=D177)*F$3:F177)</f>
        <v/>
      </c>
      <c r="L177" s="42">
        <f>IF(J177=0,0,K177/J177)</f>
        <v/>
      </c>
    </row>
    <row r="178">
      <c r="A178" s="23" t="inlineStr">
        <is>
          <t>Mai</t>
        </is>
      </c>
      <c r="B178" s="23" t="n">
        <v>5</v>
      </c>
      <c r="C178" s="23" t="inlineStr">
        <is>
          <t>Marketing</t>
        </is>
      </c>
      <c r="D178" s="23" t="inlineStr">
        <is>
          <t>Publicité &amp; Communication</t>
        </is>
      </c>
      <c r="E178" s="21" t="n">
        <v>45000</v>
      </c>
      <c r="F178" s="21" t="n">
        <v>50023</v>
      </c>
      <c r="G178" s="39">
        <f>F178-E178</f>
        <v/>
      </c>
      <c r="H178" s="40">
        <f>IF(E178=0,0,(F178-E178)/E178)</f>
        <v/>
      </c>
      <c r="I178" s="41">
        <f>IF(H178&gt;0.1,"⚠️ Dépassement",IF(H178&lt;-0.1,"✅ Économie","🔵 Normal"))</f>
        <v/>
      </c>
      <c r="J178" s="21">
        <f>SUMPRODUCT((B$3:B178=B178)*(C$3:C178=C178)*(D$3:D178=D178)*E$3:E178)</f>
        <v/>
      </c>
      <c r="K178" s="21">
        <f>SUMPRODUCT((B$3:B178=B178)*(C$3:C178=C178)*(D$3:D178=D178)*F$3:F178)</f>
        <v/>
      </c>
      <c r="L178" s="22">
        <f>IF(J178=0,0,K178/J178)</f>
        <v/>
      </c>
    </row>
    <row r="179">
      <c r="A179" s="37" t="inlineStr">
        <is>
          <t>Mai</t>
        </is>
      </c>
      <c r="B179" s="37" t="n">
        <v>5</v>
      </c>
      <c r="C179" s="37" t="inlineStr">
        <is>
          <t>Production</t>
        </is>
      </c>
      <c r="D179" s="37" t="inlineStr">
        <is>
          <t>Salaires</t>
        </is>
      </c>
      <c r="E179" s="38" t="n">
        <v>220000</v>
      </c>
      <c r="F179" s="38" t="n">
        <v>239656</v>
      </c>
      <c r="G179" s="39">
        <f>F179-E179</f>
        <v/>
      </c>
      <c r="H179" s="40">
        <f>IF(E179=0,0,(F179-E179)/E179)</f>
        <v/>
      </c>
      <c r="I179" s="41">
        <f>IF(H179&gt;0.1,"⚠️ Dépassement",IF(H179&lt;-0.1,"✅ Économie","🔵 Normal"))</f>
        <v/>
      </c>
      <c r="J179" s="38">
        <f>SUMPRODUCT((B$3:B179=B179)*(C$3:C179=C179)*(D$3:D179=D179)*E$3:E179)</f>
        <v/>
      </c>
      <c r="K179" s="38">
        <f>SUMPRODUCT((B$3:B179=B179)*(C$3:C179=C179)*(D$3:D179=D179)*F$3:F179)</f>
        <v/>
      </c>
      <c r="L179" s="42">
        <f>IF(J179=0,0,K179/J179)</f>
        <v/>
      </c>
    </row>
    <row r="180">
      <c r="A180" s="23" t="inlineStr">
        <is>
          <t>Mai</t>
        </is>
      </c>
      <c r="B180" s="23" t="n">
        <v>5</v>
      </c>
      <c r="C180" s="23" t="inlineStr">
        <is>
          <t>Production</t>
        </is>
      </c>
      <c r="D180" s="23" t="inlineStr">
        <is>
          <t>Charges sociales</t>
        </is>
      </c>
      <c r="E180" s="21" t="n">
        <v>66000</v>
      </c>
      <c r="F180" s="21" t="n">
        <v>80102</v>
      </c>
      <c r="G180" s="39">
        <f>F180-E180</f>
        <v/>
      </c>
      <c r="H180" s="40">
        <f>IF(E180=0,0,(F180-E180)/E180)</f>
        <v/>
      </c>
      <c r="I180" s="41">
        <f>IF(H180&gt;0.1,"⚠️ Dépassement",IF(H180&lt;-0.1,"✅ Économie","🔵 Normal"))</f>
        <v/>
      </c>
      <c r="J180" s="21">
        <f>SUMPRODUCT((B$3:B180=B180)*(C$3:C180=C180)*(D$3:D180=D180)*E$3:E180)</f>
        <v/>
      </c>
      <c r="K180" s="21">
        <f>SUMPRODUCT((B$3:B180=B180)*(C$3:C180=C180)*(D$3:D180=D180)*F$3:F180)</f>
        <v/>
      </c>
      <c r="L180" s="22">
        <f>IF(J180=0,0,K180/J180)</f>
        <v/>
      </c>
    </row>
    <row r="181">
      <c r="A181" s="37" t="inlineStr">
        <is>
          <t>Mai</t>
        </is>
      </c>
      <c r="B181" s="37" t="n">
        <v>5</v>
      </c>
      <c r="C181" s="37" t="inlineStr">
        <is>
          <t>Production</t>
        </is>
      </c>
      <c r="D181" s="37" t="inlineStr">
        <is>
          <t>Loyer &amp; Charges</t>
        </is>
      </c>
      <c r="E181" s="38" t="n">
        <v>35000</v>
      </c>
      <c r="F181" s="38" t="n">
        <v>30078</v>
      </c>
      <c r="G181" s="39">
        <f>F181-E181</f>
        <v/>
      </c>
      <c r="H181" s="40">
        <f>IF(E181=0,0,(F181-E181)/E181)</f>
        <v/>
      </c>
      <c r="I181" s="41">
        <f>IF(H181&gt;0.1,"⚠️ Dépassement",IF(H181&lt;-0.1,"✅ Économie","🔵 Normal"))</f>
        <v/>
      </c>
      <c r="J181" s="38">
        <f>SUMPRODUCT((B$3:B181=B181)*(C$3:C181=C181)*(D$3:D181=D181)*E$3:E181)</f>
        <v/>
      </c>
      <c r="K181" s="38">
        <f>SUMPRODUCT((B$3:B181=B181)*(C$3:C181=C181)*(D$3:D181=D181)*F$3:F181)</f>
        <v/>
      </c>
      <c r="L181" s="42">
        <f>IF(J181=0,0,K181/J181)</f>
        <v/>
      </c>
    </row>
    <row r="182">
      <c r="A182" s="23" t="inlineStr">
        <is>
          <t>Mai</t>
        </is>
      </c>
      <c r="B182" s="23" t="n">
        <v>5</v>
      </c>
      <c r="C182" s="23" t="inlineStr">
        <is>
          <t>Production</t>
        </is>
      </c>
      <c r="D182" s="23" t="inlineStr">
        <is>
          <t>Matières &amp; Fournitures</t>
        </is>
      </c>
      <c r="E182" s="21" t="n">
        <v>85000</v>
      </c>
      <c r="F182" s="21" t="n">
        <v>83389</v>
      </c>
      <c r="G182" s="39">
        <f>F182-E182</f>
        <v/>
      </c>
      <c r="H182" s="40">
        <f>IF(E182=0,0,(F182-E182)/E182)</f>
        <v/>
      </c>
      <c r="I182" s="41">
        <f>IF(H182&gt;0.1,"⚠️ Dépassement",IF(H182&lt;-0.1,"✅ Économie","🔵 Normal"))</f>
        <v/>
      </c>
      <c r="J182" s="21">
        <f>SUMPRODUCT((B$3:B182=B182)*(C$3:C182=C182)*(D$3:D182=D182)*E$3:E182)</f>
        <v/>
      </c>
      <c r="K182" s="21">
        <f>SUMPRODUCT((B$3:B182=B182)*(C$3:C182=C182)*(D$3:D182=D182)*F$3:F182)</f>
        <v/>
      </c>
      <c r="L182" s="22">
        <f>IF(J182=0,0,K182/J182)</f>
        <v/>
      </c>
    </row>
    <row r="183">
      <c r="A183" s="37" t="inlineStr">
        <is>
          <t>Mai</t>
        </is>
      </c>
      <c r="B183" s="37" t="n">
        <v>5</v>
      </c>
      <c r="C183" s="37" t="inlineStr">
        <is>
          <t>Production</t>
        </is>
      </c>
      <c r="D183" s="37" t="inlineStr">
        <is>
          <t>Informatique &amp; Licences</t>
        </is>
      </c>
      <c r="E183" s="38" t="n">
        <v>12000</v>
      </c>
      <c r="F183" s="38" t="n">
        <v>11469</v>
      </c>
      <c r="G183" s="39">
        <f>F183-E183</f>
        <v/>
      </c>
      <c r="H183" s="40">
        <f>IF(E183=0,0,(F183-E183)/E183)</f>
        <v/>
      </c>
      <c r="I183" s="41">
        <f>IF(H183&gt;0.1,"⚠️ Dépassement",IF(H183&lt;-0.1,"✅ Économie","🔵 Normal"))</f>
        <v/>
      </c>
      <c r="J183" s="38">
        <f>SUMPRODUCT((B$3:B183=B183)*(C$3:C183=C183)*(D$3:D183=D183)*E$3:E183)</f>
        <v/>
      </c>
      <c r="K183" s="38">
        <f>SUMPRODUCT((B$3:B183=B183)*(C$3:C183=C183)*(D$3:D183=D183)*F$3:F183)</f>
        <v/>
      </c>
      <c r="L183" s="42">
        <f>IF(J183=0,0,K183/J183)</f>
        <v/>
      </c>
    </row>
    <row r="184">
      <c r="A184" s="23" t="inlineStr">
        <is>
          <t>Mai</t>
        </is>
      </c>
      <c r="B184" s="23" t="n">
        <v>5</v>
      </c>
      <c r="C184" s="23" t="inlineStr">
        <is>
          <t>Production</t>
        </is>
      </c>
      <c r="D184" s="23" t="inlineStr">
        <is>
          <t>Déplacements &amp; Missions</t>
        </is>
      </c>
      <c r="E184" s="21" t="n">
        <v>10000</v>
      </c>
      <c r="F184" s="21" t="n">
        <v>11647</v>
      </c>
      <c r="G184" s="39">
        <f>F184-E184</f>
        <v/>
      </c>
      <c r="H184" s="40">
        <f>IF(E184=0,0,(F184-E184)/E184)</f>
        <v/>
      </c>
      <c r="I184" s="41">
        <f>IF(H184&gt;0.1,"⚠️ Dépassement",IF(H184&lt;-0.1,"✅ Économie","🔵 Normal"))</f>
        <v/>
      </c>
      <c r="J184" s="21">
        <f>SUMPRODUCT((B$3:B184=B184)*(C$3:C184=C184)*(D$3:D184=D184)*E$3:E184)</f>
        <v/>
      </c>
      <c r="K184" s="21">
        <f>SUMPRODUCT((B$3:B184=B184)*(C$3:C184=C184)*(D$3:D184=D184)*F$3:F184)</f>
        <v/>
      </c>
      <c r="L184" s="22">
        <f>IF(J184=0,0,K184/J184)</f>
        <v/>
      </c>
    </row>
    <row r="185">
      <c r="A185" s="37" t="inlineStr">
        <is>
          <t>Mai</t>
        </is>
      </c>
      <c r="B185" s="37" t="n">
        <v>5</v>
      </c>
      <c r="C185" s="37" t="inlineStr">
        <is>
          <t>Production</t>
        </is>
      </c>
      <c r="D185" s="37" t="inlineStr">
        <is>
          <t>Formation</t>
        </is>
      </c>
      <c r="E185" s="38" t="n">
        <v>15000</v>
      </c>
      <c r="F185" s="38" t="n">
        <v>13792</v>
      </c>
      <c r="G185" s="39">
        <f>F185-E185</f>
        <v/>
      </c>
      <c r="H185" s="40">
        <f>IF(E185=0,0,(F185-E185)/E185)</f>
        <v/>
      </c>
      <c r="I185" s="41">
        <f>IF(H185&gt;0.1,"⚠️ Dépassement",IF(H185&lt;-0.1,"✅ Économie","🔵 Normal"))</f>
        <v/>
      </c>
      <c r="J185" s="38">
        <f>SUMPRODUCT((B$3:B185=B185)*(C$3:C185=C185)*(D$3:D185=D185)*E$3:E185)</f>
        <v/>
      </c>
      <c r="K185" s="38">
        <f>SUMPRODUCT((B$3:B185=B185)*(C$3:C185=C185)*(D$3:D185=D185)*F$3:F185)</f>
        <v/>
      </c>
      <c r="L185" s="42">
        <f>IF(J185=0,0,K185/J185)</f>
        <v/>
      </c>
    </row>
    <row r="186">
      <c r="A186" s="23" t="inlineStr">
        <is>
          <t>Mai</t>
        </is>
      </c>
      <c r="B186" s="23" t="n">
        <v>5</v>
      </c>
      <c r="C186" s="23" t="inlineStr">
        <is>
          <t>Production</t>
        </is>
      </c>
      <c r="D186" s="23" t="inlineStr">
        <is>
          <t>Publicité &amp; Communication</t>
        </is>
      </c>
      <c r="E186" s="21" t="n">
        <v>5000</v>
      </c>
      <c r="F186" s="21" t="n">
        <v>4480</v>
      </c>
      <c r="G186" s="39">
        <f>F186-E186</f>
        <v/>
      </c>
      <c r="H186" s="40">
        <f>IF(E186=0,0,(F186-E186)/E186)</f>
        <v/>
      </c>
      <c r="I186" s="41">
        <f>IF(H186&gt;0.1,"⚠️ Dépassement",IF(H186&lt;-0.1,"✅ Économie","🔵 Normal"))</f>
        <v/>
      </c>
      <c r="J186" s="21">
        <f>SUMPRODUCT((B$3:B186=B186)*(C$3:C186=C186)*(D$3:D186=D186)*E$3:E186)</f>
        <v/>
      </c>
      <c r="K186" s="21">
        <f>SUMPRODUCT((B$3:B186=B186)*(C$3:C186=C186)*(D$3:D186=D186)*F$3:F186)</f>
        <v/>
      </c>
      <c r="L186" s="22">
        <f>IF(J186=0,0,K186/J186)</f>
        <v/>
      </c>
    </row>
    <row r="187">
      <c r="A187" s="37" t="inlineStr">
        <is>
          <t>Mai</t>
        </is>
      </c>
      <c r="B187" s="37" t="n">
        <v>5</v>
      </c>
      <c r="C187" s="37" t="inlineStr">
        <is>
          <t>IT</t>
        </is>
      </c>
      <c r="D187" s="37" t="inlineStr">
        <is>
          <t>Salaires</t>
        </is>
      </c>
      <c r="E187" s="38" t="n">
        <v>130000</v>
      </c>
      <c r="F187" s="38" t="n">
        <v>129928</v>
      </c>
      <c r="G187" s="39">
        <f>F187-E187</f>
        <v/>
      </c>
      <c r="H187" s="40">
        <f>IF(E187=0,0,(F187-E187)/E187)</f>
        <v/>
      </c>
      <c r="I187" s="41">
        <f>IF(H187&gt;0.1,"⚠️ Dépassement",IF(H187&lt;-0.1,"✅ Économie","🔵 Normal"))</f>
        <v/>
      </c>
      <c r="J187" s="38">
        <f>SUMPRODUCT((B$3:B187=B187)*(C$3:C187=C187)*(D$3:D187=D187)*E$3:E187)</f>
        <v/>
      </c>
      <c r="K187" s="38">
        <f>SUMPRODUCT((B$3:B187=B187)*(C$3:C187=C187)*(D$3:D187=D187)*F$3:F187)</f>
        <v/>
      </c>
      <c r="L187" s="42">
        <f>IF(J187=0,0,K187/J187)</f>
        <v/>
      </c>
    </row>
    <row r="188">
      <c r="A188" s="23" t="inlineStr">
        <is>
          <t>Mai</t>
        </is>
      </c>
      <c r="B188" s="23" t="n">
        <v>5</v>
      </c>
      <c r="C188" s="23" t="inlineStr">
        <is>
          <t>IT</t>
        </is>
      </c>
      <c r="D188" s="23" t="inlineStr">
        <is>
          <t>Charges sociales</t>
        </is>
      </c>
      <c r="E188" s="21" t="n">
        <v>39000</v>
      </c>
      <c r="F188" s="21" t="n">
        <v>38561</v>
      </c>
      <c r="G188" s="39">
        <f>F188-E188</f>
        <v/>
      </c>
      <c r="H188" s="40">
        <f>IF(E188=0,0,(F188-E188)/E188)</f>
        <v/>
      </c>
      <c r="I188" s="41">
        <f>IF(H188&gt;0.1,"⚠️ Dépassement",IF(H188&lt;-0.1,"✅ Économie","🔵 Normal"))</f>
        <v/>
      </c>
      <c r="J188" s="21">
        <f>SUMPRODUCT((B$3:B188=B188)*(C$3:C188=C188)*(D$3:D188=D188)*E$3:E188)</f>
        <v/>
      </c>
      <c r="K188" s="21">
        <f>SUMPRODUCT((B$3:B188=B188)*(C$3:C188=C188)*(D$3:D188=D188)*F$3:F188)</f>
        <v/>
      </c>
      <c r="L188" s="22">
        <f>IF(J188=0,0,K188/J188)</f>
        <v/>
      </c>
    </row>
    <row r="189">
      <c r="A189" s="37" t="inlineStr">
        <is>
          <t>Mai</t>
        </is>
      </c>
      <c r="B189" s="37" t="n">
        <v>5</v>
      </c>
      <c r="C189" s="37" t="inlineStr">
        <is>
          <t>IT</t>
        </is>
      </c>
      <c r="D189" s="37" t="inlineStr">
        <is>
          <t>Loyer &amp; Charges</t>
        </is>
      </c>
      <c r="E189" s="38" t="n">
        <v>10000</v>
      </c>
      <c r="F189" s="38" t="n">
        <v>9314</v>
      </c>
      <c r="G189" s="39">
        <f>F189-E189</f>
        <v/>
      </c>
      <c r="H189" s="40">
        <f>IF(E189=0,0,(F189-E189)/E189)</f>
        <v/>
      </c>
      <c r="I189" s="41">
        <f>IF(H189&gt;0.1,"⚠️ Dépassement",IF(H189&lt;-0.1,"✅ Économie","🔵 Normal"))</f>
        <v/>
      </c>
      <c r="J189" s="38">
        <f>SUMPRODUCT((B$3:B189=B189)*(C$3:C189=C189)*(D$3:D189=D189)*E$3:E189)</f>
        <v/>
      </c>
      <c r="K189" s="38">
        <f>SUMPRODUCT((B$3:B189=B189)*(C$3:C189=C189)*(D$3:D189=D189)*F$3:F189)</f>
        <v/>
      </c>
      <c r="L189" s="42">
        <f>IF(J189=0,0,K189/J189)</f>
        <v/>
      </c>
    </row>
    <row r="190">
      <c r="A190" s="23" t="inlineStr">
        <is>
          <t>Mai</t>
        </is>
      </c>
      <c r="B190" s="23" t="n">
        <v>5</v>
      </c>
      <c r="C190" s="23" t="inlineStr">
        <is>
          <t>IT</t>
        </is>
      </c>
      <c r="D190" s="23" t="inlineStr">
        <is>
          <t>Matières &amp; Fournitures</t>
        </is>
      </c>
      <c r="E190" s="21" t="n">
        <v>20000</v>
      </c>
      <c r="F190" s="21" t="n">
        <v>18398</v>
      </c>
      <c r="G190" s="39">
        <f>F190-E190</f>
        <v/>
      </c>
      <c r="H190" s="40">
        <f>IF(E190=0,0,(F190-E190)/E190)</f>
        <v/>
      </c>
      <c r="I190" s="41">
        <f>IF(H190&gt;0.1,"⚠️ Dépassement",IF(H190&lt;-0.1,"✅ Économie","🔵 Normal"))</f>
        <v/>
      </c>
      <c r="J190" s="21">
        <f>SUMPRODUCT((B$3:B190=B190)*(C$3:C190=C190)*(D$3:D190=D190)*E$3:E190)</f>
        <v/>
      </c>
      <c r="K190" s="21">
        <f>SUMPRODUCT((B$3:B190=B190)*(C$3:C190=C190)*(D$3:D190=D190)*F$3:F190)</f>
        <v/>
      </c>
      <c r="L190" s="22">
        <f>IF(J190=0,0,K190/J190)</f>
        <v/>
      </c>
    </row>
    <row r="191">
      <c r="A191" s="37" t="inlineStr">
        <is>
          <t>Mai</t>
        </is>
      </c>
      <c r="B191" s="37" t="n">
        <v>5</v>
      </c>
      <c r="C191" s="37" t="inlineStr">
        <is>
          <t>IT</t>
        </is>
      </c>
      <c r="D191" s="37" t="inlineStr">
        <is>
          <t>Informatique &amp; Licences</t>
        </is>
      </c>
      <c r="E191" s="38" t="n">
        <v>50000</v>
      </c>
      <c r="F191" s="38" t="n">
        <v>59465</v>
      </c>
      <c r="G191" s="39">
        <f>F191-E191</f>
        <v/>
      </c>
      <c r="H191" s="40">
        <f>IF(E191=0,0,(F191-E191)/E191)</f>
        <v/>
      </c>
      <c r="I191" s="41">
        <f>IF(H191&gt;0.1,"⚠️ Dépassement",IF(H191&lt;-0.1,"✅ Économie","🔵 Normal"))</f>
        <v/>
      </c>
      <c r="J191" s="38">
        <f>SUMPRODUCT((B$3:B191=B191)*(C$3:C191=C191)*(D$3:D191=D191)*E$3:E191)</f>
        <v/>
      </c>
      <c r="K191" s="38">
        <f>SUMPRODUCT((B$3:B191=B191)*(C$3:C191=C191)*(D$3:D191=D191)*F$3:F191)</f>
        <v/>
      </c>
      <c r="L191" s="42">
        <f>IF(J191=0,0,K191/J191)</f>
        <v/>
      </c>
    </row>
    <row r="192">
      <c r="A192" s="23" t="inlineStr">
        <is>
          <t>Mai</t>
        </is>
      </c>
      <c r="B192" s="23" t="n">
        <v>5</v>
      </c>
      <c r="C192" s="23" t="inlineStr">
        <is>
          <t>IT</t>
        </is>
      </c>
      <c r="D192" s="23" t="inlineStr">
        <is>
          <t>Déplacements &amp; Missions</t>
        </is>
      </c>
      <c r="E192" s="21" t="n">
        <v>8000</v>
      </c>
      <c r="F192" s="21" t="n">
        <v>7978</v>
      </c>
      <c r="G192" s="39">
        <f>F192-E192</f>
        <v/>
      </c>
      <c r="H192" s="40">
        <f>IF(E192=0,0,(F192-E192)/E192)</f>
        <v/>
      </c>
      <c r="I192" s="41">
        <f>IF(H192&gt;0.1,"⚠️ Dépassement",IF(H192&lt;-0.1,"✅ Économie","🔵 Normal"))</f>
        <v/>
      </c>
      <c r="J192" s="21">
        <f>SUMPRODUCT((B$3:B192=B192)*(C$3:C192=C192)*(D$3:D192=D192)*E$3:E192)</f>
        <v/>
      </c>
      <c r="K192" s="21">
        <f>SUMPRODUCT((B$3:B192=B192)*(C$3:C192=C192)*(D$3:D192=D192)*F$3:F192)</f>
        <v/>
      </c>
      <c r="L192" s="22">
        <f>IF(J192=0,0,K192/J192)</f>
        <v/>
      </c>
    </row>
    <row r="193">
      <c r="A193" s="37" t="inlineStr">
        <is>
          <t>Mai</t>
        </is>
      </c>
      <c r="B193" s="37" t="n">
        <v>5</v>
      </c>
      <c r="C193" s="37" t="inlineStr">
        <is>
          <t>IT</t>
        </is>
      </c>
      <c r="D193" s="37" t="inlineStr">
        <is>
          <t>Formation</t>
        </is>
      </c>
      <c r="E193" s="38" t="n">
        <v>18000</v>
      </c>
      <c r="F193" s="38" t="n">
        <v>20962</v>
      </c>
      <c r="G193" s="39">
        <f>F193-E193</f>
        <v/>
      </c>
      <c r="H193" s="40">
        <f>IF(E193=0,0,(F193-E193)/E193)</f>
        <v/>
      </c>
      <c r="I193" s="41">
        <f>IF(H193&gt;0.1,"⚠️ Dépassement",IF(H193&lt;-0.1,"✅ Économie","🔵 Normal"))</f>
        <v/>
      </c>
      <c r="J193" s="38">
        <f>SUMPRODUCT((B$3:B193=B193)*(C$3:C193=C193)*(D$3:D193=D193)*E$3:E193)</f>
        <v/>
      </c>
      <c r="K193" s="38">
        <f>SUMPRODUCT((B$3:B193=B193)*(C$3:C193=C193)*(D$3:D193=D193)*F$3:F193)</f>
        <v/>
      </c>
      <c r="L193" s="42">
        <f>IF(J193=0,0,K193/J193)</f>
        <v/>
      </c>
    </row>
    <row r="194">
      <c r="A194" s="23" t="inlineStr">
        <is>
          <t>Mai</t>
        </is>
      </c>
      <c r="B194" s="23" t="n">
        <v>5</v>
      </c>
      <c r="C194" s="23" t="inlineStr">
        <is>
          <t>IT</t>
        </is>
      </c>
      <c r="D194" s="23" t="inlineStr">
        <is>
          <t>Publicité &amp; Communication</t>
        </is>
      </c>
      <c r="E194" s="21" t="n">
        <v>4000</v>
      </c>
      <c r="F194" s="21" t="n">
        <v>4161</v>
      </c>
      <c r="G194" s="39">
        <f>F194-E194</f>
        <v/>
      </c>
      <c r="H194" s="40">
        <f>IF(E194=0,0,(F194-E194)/E194)</f>
        <v/>
      </c>
      <c r="I194" s="41">
        <f>IF(H194&gt;0.1,"⚠️ Dépassement",IF(H194&lt;-0.1,"✅ Économie","🔵 Normal"))</f>
        <v/>
      </c>
      <c r="J194" s="21">
        <f>SUMPRODUCT((B$3:B194=B194)*(C$3:C194=C194)*(D$3:D194=D194)*E$3:E194)</f>
        <v/>
      </c>
      <c r="K194" s="21">
        <f>SUMPRODUCT((B$3:B194=B194)*(C$3:C194=C194)*(D$3:D194=D194)*F$3:F194)</f>
        <v/>
      </c>
      <c r="L194" s="22">
        <f>IF(J194=0,0,K194/J194)</f>
        <v/>
      </c>
    </row>
    <row r="195">
      <c r="A195" s="37" t="inlineStr">
        <is>
          <t>Mai</t>
        </is>
      </c>
      <c r="B195" s="37" t="n">
        <v>5</v>
      </c>
      <c r="C195" s="37" t="inlineStr">
        <is>
          <t>Administration</t>
        </is>
      </c>
      <c r="D195" s="37" t="inlineStr">
        <is>
          <t>Salaires</t>
        </is>
      </c>
      <c r="E195" s="38" t="n">
        <v>75000</v>
      </c>
      <c r="F195" s="38" t="n">
        <v>63018</v>
      </c>
      <c r="G195" s="39">
        <f>F195-E195</f>
        <v/>
      </c>
      <c r="H195" s="40">
        <f>IF(E195=0,0,(F195-E195)/E195)</f>
        <v/>
      </c>
      <c r="I195" s="41">
        <f>IF(H195&gt;0.1,"⚠️ Dépassement",IF(H195&lt;-0.1,"✅ Économie","🔵 Normal"))</f>
        <v/>
      </c>
      <c r="J195" s="38">
        <f>SUMPRODUCT((B$3:B195=B195)*(C$3:C195=C195)*(D$3:D195=D195)*E$3:E195)</f>
        <v/>
      </c>
      <c r="K195" s="38">
        <f>SUMPRODUCT((B$3:B195=B195)*(C$3:C195=C195)*(D$3:D195=D195)*F$3:F195)</f>
        <v/>
      </c>
      <c r="L195" s="42">
        <f>IF(J195=0,0,K195/J195)</f>
        <v/>
      </c>
    </row>
    <row r="196">
      <c r="A196" s="23" t="inlineStr">
        <is>
          <t>Mai</t>
        </is>
      </c>
      <c r="B196" s="23" t="n">
        <v>5</v>
      </c>
      <c r="C196" s="23" t="inlineStr">
        <is>
          <t>Administration</t>
        </is>
      </c>
      <c r="D196" s="23" t="inlineStr">
        <is>
          <t>Charges sociales</t>
        </is>
      </c>
      <c r="E196" s="21" t="n">
        <v>22500</v>
      </c>
      <c r="F196" s="21" t="n">
        <v>27444</v>
      </c>
      <c r="G196" s="39">
        <f>F196-E196</f>
        <v/>
      </c>
      <c r="H196" s="40">
        <f>IF(E196=0,0,(F196-E196)/E196)</f>
        <v/>
      </c>
      <c r="I196" s="41">
        <f>IF(H196&gt;0.1,"⚠️ Dépassement",IF(H196&lt;-0.1,"✅ Économie","🔵 Normal"))</f>
        <v/>
      </c>
      <c r="J196" s="21">
        <f>SUMPRODUCT((B$3:B196=B196)*(C$3:C196=C196)*(D$3:D196=D196)*E$3:E196)</f>
        <v/>
      </c>
      <c r="K196" s="21">
        <f>SUMPRODUCT((B$3:B196=B196)*(C$3:C196=C196)*(D$3:D196=D196)*F$3:F196)</f>
        <v/>
      </c>
      <c r="L196" s="22">
        <f>IF(J196=0,0,K196/J196)</f>
        <v/>
      </c>
    </row>
    <row r="197">
      <c r="A197" s="37" t="inlineStr">
        <is>
          <t>Mai</t>
        </is>
      </c>
      <c r="B197" s="37" t="n">
        <v>5</v>
      </c>
      <c r="C197" s="37" t="inlineStr">
        <is>
          <t>Administration</t>
        </is>
      </c>
      <c r="D197" s="37" t="inlineStr">
        <is>
          <t>Loyer &amp; Charges</t>
        </is>
      </c>
      <c r="E197" s="38" t="n">
        <v>18000</v>
      </c>
      <c r="F197" s="38" t="n">
        <v>20779</v>
      </c>
      <c r="G197" s="39">
        <f>F197-E197</f>
        <v/>
      </c>
      <c r="H197" s="40">
        <f>IF(E197=0,0,(F197-E197)/E197)</f>
        <v/>
      </c>
      <c r="I197" s="41">
        <f>IF(H197&gt;0.1,"⚠️ Dépassement",IF(H197&lt;-0.1,"✅ Économie","🔵 Normal"))</f>
        <v/>
      </c>
      <c r="J197" s="38">
        <f>SUMPRODUCT((B$3:B197=B197)*(C$3:C197=C197)*(D$3:D197=D197)*E$3:E197)</f>
        <v/>
      </c>
      <c r="K197" s="38">
        <f>SUMPRODUCT((B$3:B197=B197)*(C$3:C197=C197)*(D$3:D197=D197)*F$3:F197)</f>
        <v/>
      </c>
      <c r="L197" s="42">
        <f>IF(J197=0,0,K197/J197)</f>
        <v/>
      </c>
    </row>
    <row r="198">
      <c r="A198" s="23" t="inlineStr">
        <is>
          <t>Mai</t>
        </is>
      </c>
      <c r="B198" s="23" t="n">
        <v>5</v>
      </c>
      <c r="C198" s="23" t="inlineStr">
        <is>
          <t>Administration</t>
        </is>
      </c>
      <c r="D198" s="23" t="inlineStr">
        <is>
          <t>Matières &amp; Fournitures</t>
        </is>
      </c>
      <c r="E198" s="21" t="n">
        <v>12000</v>
      </c>
      <c r="F198" s="21" t="n">
        <v>14491</v>
      </c>
      <c r="G198" s="39">
        <f>F198-E198</f>
        <v/>
      </c>
      <c r="H198" s="40">
        <f>IF(E198=0,0,(F198-E198)/E198)</f>
        <v/>
      </c>
      <c r="I198" s="41">
        <f>IF(H198&gt;0.1,"⚠️ Dépassement",IF(H198&lt;-0.1,"✅ Économie","🔵 Normal"))</f>
        <v/>
      </c>
      <c r="J198" s="21">
        <f>SUMPRODUCT((B$3:B198=B198)*(C$3:C198=C198)*(D$3:D198=D198)*E$3:E198)</f>
        <v/>
      </c>
      <c r="K198" s="21">
        <f>SUMPRODUCT((B$3:B198=B198)*(C$3:C198=C198)*(D$3:D198=D198)*F$3:F198)</f>
        <v/>
      </c>
      <c r="L198" s="22">
        <f>IF(J198=0,0,K198/J198)</f>
        <v/>
      </c>
    </row>
    <row r="199">
      <c r="A199" s="37" t="inlineStr">
        <is>
          <t>Mai</t>
        </is>
      </c>
      <c r="B199" s="37" t="n">
        <v>5</v>
      </c>
      <c r="C199" s="37" t="inlineStr">
        <is>
          <t>Administration</t>
        </is>
      </c>
      <c r="D199" s="37" t="inlineStr">
        <is>
          <t>Informatique &amp; Licences</t>
        </is>
      </c>
      <c r="E199" s="38" t="n">
        <v>6000</v>
      </c>
      <c r="F199" s="38" t="n">
        <v>7143</v>
      </c>
      <c r="G199" s="39">
        <f>F199-E199</f>
        <v/>
      </c>
      <c r="H199" s="40">
        <f>IF(E199=0,0,(F199-E199)/E199)</f>
        <v/>
      </c>
      <c r="I199" s="41">
        <f>IF(H199&gt;0.1,"⚠️ Dépassement",IF(H199&lt;-0.1,"✅ Économie","🔵 Normal"))</f>
        <v/>
      </c>
      <c r="J199" s="38">
        <f>SUMPRODUCT((B$3:B199=B199)*(C$3:C199=C199)*(D$3:D199=D199)*E$3:E199)</f>
        <v/>
      </c>
      <c r="K199" s="38">
        <f>SUMPRODUCT((B$3:B199=B199)*(C$3:C199=C199)*(D$3:D199=D199)*F$3:F199)</f>
        <v/>
      </c>
      <c r="L199" s="42">
        <f>IF(J199=0,0,K199/J199)</f>
        <v/>
      </c>
    </row>
    <row r="200">
      <c r="A200" s="23" t="inlineStr">
        <is>
          <t>Mai</t>
        </is>
      </c>
      <c r="B200" s="23" t="n">
        <v>5</v>
      </c>
      <c r="C200" s="23" t="inlineStr">
        <is>
          <t>Administration</t>
        </is>
      </c>
      <c r="D200" s="23" t="inlineStr">
        <is>
          <t>Déplacements &amp; Missions</t>
        </is>
      </c>
      <c r="E200" s="21" t="n">
        <v>9000</v>
      </c>
      <c r="F200" s="21" t="n">
        <v>10435</v>
      </c>
      <c r="G200" s="39">
        <f>F200-E200</f>
        <v/>
      </c>
      <c r="H200" s="40">
        <f>IF(E200=0,0,(F200-E200)/E200)</f>
        <v/>
      </c>
      <c r="I200" s="41">
        <f>IF(H200&gt;0.1,"⚠️ Dépassement",IF(H200&lt;-0.1,"✅ Économie","🔵 Normal"))</f>
        <v/>
      </c>
      <c r="J200" s="21">
        <f>SUMPRODUCT((B$3:B200=B200)*(C$3:C200=C200)*(D$3:D200=D200)*E$3:E200)</f>
        <v/>
      </c>
      <c r="K200" s="21">
        <f>SUMPRODUCT((B$3:B200=B200)*(C$3:C200=C200)*(D$3:D200=D200)*F$3:F200)</f>
        <v/>
      </c>
      <c r="L200" s="22">
        <f>IF(J200=0,0,K200/J200)</f>
        <v/>
      </c>
    </row>
    <row r="201">
      <c r="A201" s="37" t="inlineStr">
        <is>
          <t>Mai</t>
        </is>
      </c>
      <c r="B201" s="37" t="n">
        <v>5</v>
      </c>
      <c r="C201" s="37" t="inlineStr">
        <is>
          <t>Administration</t>
        </is>
      </c>
      <c r="D201" s="37" t="inlineStr">
        <is>
          <t>Formation</t>
        </is>
      </c>
      <c r="E201" s="38" t="n">
        <v>5000</v>
      </c>
      <c r="F201" s="38" t="n">
        <v>4433</v>
      </c>
      <c r="G201" s="39">
        <f>F201-E201</f>
        <v/>
      </c>
      <c r="H201" s="40">
        <f>IF(E201=0,0,(F201-E201)/E201)</f>
        <v/>
      </c>
      <c r="I201" s="41">
        <f>IF(H201&gt;0.1,"⚠️ Dépassement",IF(H201&lt;-0.1,"✅ Économie","🔵 Normal"))</f>
        <v/>
      </c>
      <c r="J201" s="38">
        <f>SUMPRODUCT((B$3:B201=B201)*(C$3:C201=C201)*(D$3:D201=D201)*E$3:E201)</f>
        <v/>
      </c>
      <c r="K201" s="38">
        <f>SUMPRODUCT((B$3:B201=B201)*(C$3:C201=C201)*(D$3:D201=D201)*F$3:F201)</f>
        <v/>
      </c>
      <c r="L201" s="42">
        <f>IF(J201=0,0,K201/J201)</f>
        <v/>
      </c>
    </row>
    <row r="202">
      <c r="A202" s="23" t="inlineStr">
        <is>
          <t>Mai</t>
        </is>
      </c>
      <c r="B202" s="23" t="n">
        <v>5</v>
      </c>
      <c r="C202" s="23" t="inlineStr">
        <is>
          <t>Administration</t>
        </is>
      </c>
      <c r="D202" s="23" t="inlineStr">
        <is>
          <t>Publicité &amp; Communication</t>
        </is>
      </c>
      <c r="E202" s="21" t="n">
        <v>2000</v>
      </c>
      <c r="F202" s="21" t="n">
        <v>2029</v>
      </c>
      <c r="G202" s="39">
        <f>F202-E202</f>
        <v/>
      </c>
      <c r="H202" s="40">
        <f>IF(E202=0,0,(F202-E202)/E202)</f>
        <v/>
      </c>
      <c r="I202" s="41">
        <f>IF(H202&gt;0.1,"⚠️ Dépassement",IF(H202&lt;-0.1,"✅ Économie","🔵 Normal"))</f>
        <v/>
      </c>
      <c r="J202" s="21">
        <f>SUMPRODUCT((B$3:B202=B202)*(C$3:C202=C202)*(D$3:D202=D202)*E$3:E202)</f>
        <v/>
      </c>
      <c r="K202" s="21">
        <f>SUMPRODUCT((B$3:B202=B202)*(C$3:C202=C202)*(D$3:D202=D202)*F$3:F202)</f>
        <v/>
      </c>
      <c r="L202" s="22">
        <f>IF(J202=0,0,K202/J202)</f>
        <v/>
      </c>
    </row>
    <row r="203">
      <c r="A203" s="37" t="inlineStr">
        <is>
          <t>Juin</t>
        </is>
      </c>
      <c r="B203" s="37" t="n">
        <v>6</v>
      </c>
      <c r="C203" s="37" t="inlineStr">
        <is>
          <t>RH</t>
        </is>
      </c>
      <c r="D203" s="37" t="inlineStr">
        <is>
          <t>Salaires</t>
        </is>
      </c>
      <c r="E203" s="38" t="n">
        <v>180000</v>
      </c>
      <c r="F203" s="38" t="n">
        <v>162990</v>
      </c>
      <c r="G203" s="39">
        <f>F203-E203</f>
        <v/>
      </c>
      <c r="H203" s="40">
        <f>IF(E203=0,0,(F203-E203)/E203)</f>
        <v/>
      </c>
      <c r="I203" s="41">
        <f>IF(H203&gt;0.1,"⚠️ Dépassement",IF(H203&lt;-0.1,"✅ Économie","🔵 Normal"))</f>
        <v/>
      </c>
      <c r="J203" s="38">
        <f>SUMPRODUCT((B$3:B203=B203)*(C$3:C203=C203)*(D$3:D203=D203)*E$3:E203)</f>
        <v/>
      </c>
      <c r="K203" s="38">
        <f>SUMPRODUCT((B$3:B203=B203)*(C$3:C203=C203)*(D$3:D203=D203)*F$3:F203)</f>
        <v/>
      </c>
      <c r="L203" s="42">
        <f>IF(J203=0,0,K203/J203)</f>
        <v/>
      </c>
    </row>
    <row r="204">
      <c r="A204" s="23" t="inlineStr">
        <is>
          <t>Juin</t>
        </is>
      </c>
      <c r="B204" s="23" t="n">
        <v>6</v>
      </c>
      <c r="C204" s="23" t="inlineStr">
        <is>
          <t>RH</t>
        </is>
      </c>
      <c r="D204" s="23" t="inlineStr">
        <is>
          <t>Charges sociales</t>
        </is>
      </c>
      <c r="E204" s="21" t="n">
        <v>54000</v>
      </c>
      <c r="F204" s="21" t="n">
        <v>52942</v>
      </c>
      <c r="G204" s="39">
        <f>F204-E204</f>
        <v/>
      </c>
      <c r="H204" s="40">
        <f>IF(E204=0,0,(F204-E204)/E204)</f>
        <v/>
      </c>
      <c r="I204" s="41">
        <f>IF(H204&gt;0.1,"⚠️ Dépassement",IF(H204&lt;-0.1,"✅ Économie","🔵 Normal"))</f>
        <v/>
      </c>
      <c r="J204" s="21">
        <f>SUMPRODUCT((B$3:B204=B204)*(C$3:C204=C204)*(D$3:D204=D204)*E$3:E204)</f>
        <v/>
      </c>
      <c r="K204" s="21">
        <f>SUMPRODUCT((B$3:B204=B204)*(C$3:C204=C204)*(D$3:D204=D204)*F$3:F204)</f>
        <v/>
      </c>
      <c r="L204" s="22">
        <f>IF(J204=0,0,K204/J204)</f>
        <v/>
      </c>
    </row>
    <row r="205">
      <c r="A205" s="37" t="inlineStr">
        <is>
          <t>Juin</t>
        </is>
      </c>
      <c r="B205" s="37" t="n">
        <v>6</v>
      </c>
      <c r="C205" s="37" t="inlineStr">
        <is>
          <t>RH</t>
        </is>
      </c>
      <c r="D205" s="37" t="inlineStr">
        <is>
          <t>Loyer &amp; Charges</t>
        </is>
      </c>
      <c r="E205" s="38" t="n">
        <v>15000</v>
      </c>
      <c r="F205" s="38" t="n">
        <v>12652</v>
      </c>
      <c r="G205" s="39">
        <f>F205-E205</f>
        <v/>
      </c>
      <c r="H205" s="40">
        <f>IF(E205=0,0,(F205-E205)/E205)</f>
        <v/>
      </c>
      <c r="I205" s="41">
        <f>IF(H205&gt;0.1,"⚠️ Dépassement",IF(H205&lt;-0.1,"✅ Économie","🔵 Normal"))</f>
        <v/>
      </c>
      <c r="J205" s="38">
        <f>SUMPRODUCT((B$3:B205=B205)*(C$3:C205=C205)*(D$3:D205=D205)*E$3:E205)</f>
        <v/>
      </c>
      <c r="K205" s="38">
        <f>SUMPRODUCT((B$3:B205=B205)*(C$3:C205=C205)*(D$3:D205=D205)*F$3:F205)</f>
        <v/>
      </c>
      <c r="L205" s="42">
        <f>IF(J205=0,0,K205/J205)</f>
        <v/>
      </c>
    </row>
    <row r="206">
      <c r="A206" s="23" t="inlineStr">
        <is>
          <t>Juin</t>
        </is>
      </c>
      <c r="B206" s="23" t="n">
        <v>6</v>
      </c>
      <c r="C206" s="23" t="inlineStr">
        <is>
          <t>RH</t>
        </is>
      </c>
      <c r="D206" s="23" t="inlineStr">
        <is>
          <t>Matières &amp; Fournitures</t>
        </is>
      </c>
      <c r="E206" s="21" t="n">
        <v>8000</v>
      </c>
      <c r="F206" s="21" t="n">
        <v>7773</v>
      </c>
      <c r="G206" s="39">
        <f>F206-E206</f>
        <v/>
      </c>
      <c r="H206" s="40">
        <f>IF(E206=0,0,(F206-E206)/E206)</f>
        <v/>
      </c>
      <c r="I206" s="41">
        <f>IF(H206&gt;0.1,"⚠️ Dépassement",IF(H206&lt;-0.1,"✅ Économie","🔵 Normal"))</f>
        <v/>
      </c>
      <c r="J206" s="21">
        <f>SUMPRODUCT((B$3:B206=B206)*(C$3:C206=C206)*(D$3:D206=D206)*E$3:E206)</f>
        <v/>
      </c>
      <c r="K206" s="21">
        <f>SUMPRODUCT((B$3:B206=B206)*(C$3:C206=C206)*(D$3:D206=D206)*F$3:F206)</f>
        <v/>
      </c>
      <c r="L206" s="22">
        <f>IF(J206=0,0,K206/J206)</f>
        <v/>
      </c>
    </row>
    <row r="207">
      <c r="A207" s="37" t="inlineStr">
        <is>
          <t>Juin</t>
        </is>
      </c>
      <c r="B207" s="37" t="n">
        <v>6</v>
      </c>
      <c r="C207" s="37" t="inlineStr">
        <is>
          <t>RH</t>
        </is>
      </c>
      <c r="D207" s="37" t="inlineStr">
        <is>
          <t>Informatique &amp; Licences</t>
        </is>
      </c>
      <c r="E207" s="38" t="n">
        <v>5000</v>
      </c>
      <c r="F207" s="38" t="n">
        <v>6071</v>
      </c>
      <c r="G207" s="39">
        <f>F207-E207</f>
        <v/>
      </c>
      <c r="H207" s="40">
        <f>IF(E207=0,0,(F207-E207)/E207)</f>
        <v/>
      </c>
      <c r="I207" s="41">
        <f>IF(H207&gt;0.1,"⚠️ Dépassement",IF(H207&lt;-0.1,"✅ Économie","🔵 Normal"))</f>
        <v/>
      </c>
      <c r="J207" s="38">
        <f>SUMPRODUCT((B$3:B207=B207)*(C$3:C207=C207)*(D$3:D207=D207)*E$3:E207)</f>
        <v/>
      </c>
      <c r="K207" s="38">
        <f>SUMPRODUCT((B$3:B207=B207)*(C$3:C207=C207)*(D$3:D207=D207)*F$3:F207)</f>
        <v/>
      </c>
      <c r="L207" s="42">
        <f>IF(J207=0,0,K207/J207)</f>
        <v/>
      </c>
    </row>
    <row r="208">
      <c r="A208" s="23" t="inlineStr">
        <is>
          <t>Juin</t>
        </is>
      </c>
      <c r="B208" s="23" t="n">
        <v>6</v>
      </c>
      <c r="C208" s="23" t="inlineStr">
        <is>
          <t>RH</t>
        </is>
      </c>
      <c r="D208" s="23" t="inlineStr">
        <is>
          <t>Déplacements &amp; Missions</t>
        </is>
      </c>
      <c r="E208" s="21" t="n">
        <v>7000</v>
      </c>
      <c r="F208" s="21" t="n">
        <v>6483</v>
      </c>
      <c r="G208" s="39">
        <f>F208-E208</f>
        <v/>
      </c>
      <c r="H208" s="40">
        <f>IF(E208=0,0,(F208-E208)/E208)</f>
        <v/>
      </c>
      <c r="I208" s="41">
        <f>IF(H208&gt;0.1,"⚠️ Dépassement",IF(H208&lt;-0.1,"✅ Économie","🔵 Normal"))</f>
        <v/>
      </c>
      <c r="J208" s="21">
        <f>SUMPRODUCT((B$3:B208=B208)*(C$3:C208=C208)*(D$3:D208=D208)*E$3:E208)</f>
        <v/>
      </c>
      <c r="K208" s="21">
        <f>SUMPRODUCT((B$3:B208=B208)*(C$3:C208=C208)*(D$3:D208=D208)*F$3:F208)</f>
        <v/>
      </c>
      <c r="L208" s="22">
        <f>IF(J208=0,0,K208/J208)</f>
        <v/>
      </c>
    </row>
    <row r="209">
      <c r="A209" s="37" t="inlineStr">
        <is>
          <t>Juin</t>
        </is>
      </c>
      <c r="B209" s="37" t="n">
        <v>6</v>
      </c>
      <c r="C209" s="37" t="inlineStr">
        <is>
          <t>RH</t>
        </is>
      </c>
      <c r="D209" s="37" t="inlineStr">
        <is>
          <t>Formation</t>
        </is>
      </c>
      <c r="E209" s="38" t="n">
        <v>20000</v>
      </c>
      <c r="F209" s="38" t="n">
        <v>22673</v>
      </c>
      <c r="G209" s="39">
        <f>F209-E209</f>
        <v/>
      </c>
      <c r="H209" s="40">
        <f>IF(E209=0,0,(F209-E209)/E209)</f>
        <v/>
      </c>
      <c r="I209" s="41">
        <f>IF(H209&gt;0.1,"⚠️ Dépassement",IF(H209&lt;-0.1,"✅ Économie","🔵 Normal"))</f>
        <v/>
      </c>
      <c r="J209" s="38">
        <f>SUMPRODUCT((B$3:B209=B209)*(C$3:C209=C209)*(D$3:D209=D209)*E$3:E209)</f>
        <v/>
      </c>
      <c r="K209" s="38">
        <f>SUMPRODUCT((B$3:B209=B209)*(C$3:C209=C209)*(D$3:D209=D209)*F$3:F209)</f>
        <v/>
      </c>
      <c r="L209" s="42">
        <f>IF(J209=0,0,K209/J209)</f>
        <v/>
      </c>
    </row>
    <row r="210">
      <c r="A210" s="23" t="inlineStr">
        <is>
          <t>Juin</t>
        </is>
      </c>
      <c r="B210" s="23" t="n">
        <v>6</v>
      </c>
      <c r="C210" s="23" t="inlineStr">
        <is>
          <t>RH</t>
        </is>
      </c>
      <c r="D210" s="23" t="inlineStr">
        <is>
          <t>Publicité &amp; Communication</t>
        </is>
      </c>
      <c r="E210" s="21" t="n">
        <v>3000</v>
      </c>
      <c r="F210" s="21" t="n">
        <v>3006</v>
      </c>
      <c r="G210" s="39">
        <f>F210-E210</f>
        <v/>
      </c>
      <c r="H210" s="40">
        <f>IF(E210=0,0,(F210-E210)/E210)</f>
        <v/>
      </c>
      <c r="I210" s="41">
        <f>IF(H210&gt;0.1,"⚠️ Dépassement",IF(H210&lt;-0.1,"✅ Économie","🔵 Normal"))</f>
        <v/>
      </c>
      <c r="J210" s="21">
        <f>SUMPRODUCT((B$3:B210=B210)*(C$3:C210=C210)*(D$3:D210=D210)*E$3:E210)</f>
        <v/>
      </c>
      <c r="K210" s="21">
        <f>SUMPRODUCT((B$3:B210=B210)*(C$3:C210=C210)*(D$3:D210=D210)*F$3:F210)</f>
        <v/>
      </c>
      <c r="L210" s="22">
        <f>IF(J210=0,0,K210/J210)</f>
        <v/>
      </c>
    </row>
    <row r="211">
      <c r="A211" s="37" t="inlineStr">
        <is>
          <t>Juin</t>
        </is>
      </c>
      <c r="B211" s="37" t="n">
        <v>6</v>
      </c>
      <c r="C211" s="37" t="inlineStr">
        <is>
          <t>Marketing</t>
        </is>
      </c>
      <c r="D211" s="37" t="inlineStr">
        <is>
          <t>Salaires</t>
        </is>
      </c>
      <c r="E211" s="38" t="n">
        <v>95000</v>
      </c>
      <c r="F211" s="38" t="n">
        <v>93974</v>
      </c>
      <c r="G211" s="39">
        <f>F211-E211</f>
        <v/>
      </c>
      <c r="H211" s="40">
        <f>IF(E211=0,0,(F211-E211)/E211)</f>
        <v/>
      </c>
      <c r="I211" s="41">
        <f>IF(H211&gt;0.1,"⚠️ Dépassement",IF(H211&lt;-0.1,"✅ Économie","🔵 Normal"))</f>
        <v/>
      </c>
      <c r="J211" s="38">
        <f>SUMPRODUCT((B$3:B211=B211)*(C$3:C211=C211)*(D$3:D211=D211)*E$3:E211)</f>
        <v/>
      </c>
      <c r="K211" s="38">
        <f>SUMPRODUCT((B$3:B211=B211)*(C$3:C211=C211)*(D$3:D211=D211)*F$3:F211)</f>
        <v/>
      </c>
      <c r="L211" s="42">
        <f>IF(J211=0,0,K211/J211)</f>
        <v/>
      </c>
    </row>
    <row r="212">
      <c r="A212" s="23" t="inlineStr">
        <is>
          <t>Juin</t>
        </is>
      </c>
      <c r="B212" s="23" t="n">
        <v>6</v>
      </c>
      <c r="C212" s="23" t="inlineStr">
        <is>
          <t>Marketing</t>
        </is>
      </c>
      <c r="D212" s="23" t="inlineStr">
        <is>
          <t>Charges sociales</t>
        </is>
      </c>
      <c r="E212" s="21" t="n">
        <v>28500</v>
      </c>
      <c r="F212" s="21" t="n">
        <v>34283</v>
      </c>
      <c r="G212" s="39">
        <f>F212-E212</f>
        <v/>
      </c>
      <c r="H212" s="40">
        <f>IF(E212=0,0,(F212-E212)/E212)</f>
        <v/>
      </c>
      <c r="I212" s="41">
        <f>IF(H212&gt;0.1,"⚠️ Dépassement",IF(H212&lt;-0.1,"✅ Économie","🔵 Normal"))</f>
        <v/>
      </c>
      <c r="J212" s="21">
        <f>SUMPRODUCT((B$3:B212=B212)*(C$3:C212=C212)*(D$3:D212=D212)*E$3:E212)</f>
        <v/>
      </c>
      <c r="K212" s="21">
        <f>SUMPRODUCT((B$3:B212=B212)*(C$3:C212=C212)*(D$3:D212=D212)*F$3:F212)</f>
        <v/>
      </c>
      <c r="L212" s="22">
        <f>IF(J212=0,0,K212/J212)</f>
        <v/>
      </c>
    </row>
    <row r="213">
      <c r="A213" s="37" t="inlineStr">
        <is>
          <t>Juin</t>
        </is>
      </c>
      <c r="B213" s="37" t="n">
        <v>6</v>
      </c>
      <c r="C213" s="37" t="inlineStr">
        <is>
          <t>Marketing</t>
        </is>
      </c>
      <c r="D213" s="37" t="inlineStr">
        <is>
          <t>Loyer &amp; Charges</t>
        </is>
      </c>
      <c r="E213" s="38" t="n">
        <v>12000</v>
      </c>
      <c r="F213" s="38" t="n">
        <v>14618</v>
      </c>
      <c r="G213" s="39">
        <f>F213-E213</f>
        <v/>
      </c>
      <c r="H213" s="40">
        <f>IF(E213=0,0,(F213-E213)/E213)</f>
        <v/>
      </c>
      <c r="I213" s="41">
        <f>IF(H213&gt;0.1,"⚠️ Dépassement",IF(H213&lt;-0.1,"✅ Économie","🔵 Normal"))</f>
        <v/>
      </c>
      <c r="J213" s="38">
        <f>SUMPRODUCT((B$3:B213=B213)*(C$3:C213=C213)*(D$3:D213=D213)*E$3:E213)</f>
        <v/>
      </c>
      <c r="K213" s="38">
        <f>SUMPRODUCT((B$3:B213=B213)*(C$3:C213=C213)*(D$3:D213=D213)*F$3:F213)</f>
        <v/>
      </c>
      <c r="L213" s="42">
        <f>IF(J213=0,0,K213/J213)</f>
        <v/>
      </c>
    </row>
    <row r="214">
      <c r="A214" s="23" t="inlineStr">
        <is>
          <t>Juin</t>
        </is>
      </c>
      <c r="B214" s="23" t="n">
        <v>6</v>
      </c>
      <c r="C214" s="23" t="inlineStr">
        <is>
          <t>Marketing</t>
        </is>
      </c>
      <c r="D214" s="23" t="inlineStr">
        <is>
          <t>Matières &amp; Fournitures</t>
        </is>
      </c>
      <c r="E214" s="21" t="n">
        <v>6000</v>
      </c>
      <c r="F214" s="21" t="n">
        <v>6254</v>
      </c>
      <c r="G214" s="39">
        <f>F214-E214</f>
        <v/>
      </c>
      <c r="H214" s="40">
        <f>IF(E214=0,0,(F214-E214)/E214)</f>
        <v/>
      </c>
      <c r="I214" s="41">
        <f>IF(H214&gt;0.1,"⚠️ Dépassement",IF(H214&lt;-0.1,"✅ Économie","🔵 Normal"))</f>
        <v/>
      </c>
      <c r="J214" s="21">
        <f>SUMPRODUCT((B$3:B214=B214)*(C$3:C214=C214)*(D$3:D214=D214)*E$3:E214)</f>
        <v/>
      </c>
      <c r="K214" s="21">
        <f>SUMPRODUCT((B$3:B214=B214)*(C$3:C214=C214)*(D$3:D214=D214)*F$3:F214)</f>
        <v/>
      </c>
      <c r="L214" s="22">
        <f>IF(J214=0,0,K214/J214)</f>
        <v/>
      </c>
    </row>
    <row r="215">
      <c r="A215" s="37" t="inlineStr">
        <is>
          <t>Juin</t>
        </is>
      </c>
      <c r="B215" s="37" t="n">
        <v>6</v>
      </c>
      <c r="C215" s="37" t="inlineStr">
        <is>
          <t>Marketing</t>
        </is>
      </c>
      <c r="D215" s="37" t="inlineStr">
        <is>
          <t>Informatique &amp; Licences</t>
        </is>
      </c>
      <c r="E215" s="38" t="n">
        <v>8000</v>
      </c>
      <c r="F215" s="38" t="n">
        <v>8859</v>
      </c>
      <c r="G215" s="39">
        <f>F215-E215</f>
        <v/>
      </c>
      <c r="H215" s="40">
        <f>IF(E215=0,0,(F215-E215)/E215)</f>
        <v/>
      </c>
      <c r="I215" s="41">
        <f>IF(H215&gt;0.1,"⚠️ Dépassement",IF(H215&lt;-0.1,"✅ Économie","🔵 Normal"))</f>
        <v/>
      </c>
      <c r="J215" s="38">
        <f>SUMPRODUCT((B$3:B215=B215)*(C$3:C215=C215)*(D$3:D215=D215)*E$3:E215)</f>
        <v/>
      </c>
      <c r="K215" s="38">
        <f>SUMPRODUCT((B$3:B215=B215)*(C$3:C215=C215)*(D$3:D215=D215)*F$3:F215)</f>
        <v/>
      </c>
      <c r="L215" s="42">
        <f>IF(J215=0,0,K215/J215)</f>
        <v/>
      </c>
    </row>
    <row r="216">
      <c r="A216" s="23" t="inlineStr">
        <is>
          <t>Juin</t>
        </is>
      </c>
      <c r="B216" s="23" t="n">
        <v>6</v>
      </c>
      <c r="C216" s="23" t="inlineStr">
        <is>
          <t>Marketing</t>
        </is>
      </c>
      <c r="D216" s="23" t="inlineStr">
        <is>
          <t>Déplacements &amp; Missions</t>
        </is>
      </c>
      <c r="E216" s="21" t="n">
        <v>15000</v>
      </c>
      <c r="F216" s="21" t="n">
        <v>13229</v>
      </c>
      <c r="G216" s="39">
        <f>F216-E216</f>
        <v/>
      </c>
      <c r="H216" s="40">
        <f>IF(E216=0,0,(F216-E216)/E216)</f>
        <v/>
      </c>
      <c r="I216" s="41">
        <f>IF(H216&gt;0.1,"⚠️ Dépassement",IF(H216&lt;-0.1,"✅ Économie","🔵 Normal"))</f>
        <v/>
      </c>
      <c r="J216" s="21">
        <f>SUMPRODUCT((B$3:B216=B216)*(C$3:C216=C216)*(D$3:D216=D216)*E$3:E216)</f>
        <v/>
      </c>
      <c r="K216" s="21">
        <f>SUMPRODUCT((B$3:B216=B216)*(C$3:C216=C216)*(D$3:D216=D216)*F$3:F216)</f>
        <v/>
      </c>
      <c r="L216" s="22">
        <f>IF(J216=0,0,K216/J216)</f>
        <v/>
      </c>
    </row>
    <row r="217">
      <c r="A217" s="37" t="inlineStr">
        <is>
          <t>Juin</t>
        </is>
      </c>
      <c r="B217" s="37" t="n">
        <v>6</v>
      </c>
      <c r="C217" s="37" t="inlineStr">
        <is>
          <t>Marketing</t>
        </is>
      </c>
      <c r="D217" s="37" t="inlineStr">
        <is>
          <t>Formation</t>
        </is>
      </c>
      <c r="E217" s="38" t="n">
        <v>8000</v>
      </c>
      <c r="F217" s="38" t="n">
        <v>7509</v>
      </c>
      <c r="G217" s="39">
        <f>F217-E217</f>
        <v/>
      </c>
      <c r="H217" s="40">
        <f>IF(E217=0,0,(F217-E217)/E217)</f>
        <v/>
      </c>
      <c r="I217" s="41">
        <f>IF(H217&gt;0.1,"⚠️ Dépassement",IF(H217&lt;-0.1,"✅ Économie","🔵 Normal"))</f>
        <v/>
      </c>
      <c r="J217" s="38">
        <f>SUMPRODUCT((B$3:B217=B217)*(C$3:C217=C217)*(D$3:D217=D217)*E$3:E217)</f>
        <v/>
      </c>
      <c r="K217" s="38">
        <f>SUMPRODUCT((B$3:B217=B217)*(C$3:C217=C217)*(D$3:D217=D217)*F$3:F217)</f>
        <v/>
      </c>
      <c r="L217" s="42">
        <f>IF(J217=0,0,K217/J217)</f>
        <v/>
      </c>
    </row>
    <row r="218">
      <c r="A218" s="23" t="inlineStr">
        <is>
          <t>Juin</t>
        </is>
      </c>
      <c r="B218" s="23" t="n">
        <v>6</v>
      </c>
      <c r="C218" s="23" t="inlineStr">
        <is>
          <t>Marketing</t>
        </is>
      </c>
      <c r="D218" s="23" t="inlineStr">
        <is>
          <t>Publicité &amp; Communication</t>
        </is>
      </c>
      <c r="E218" s="21" t="n">
        <v>45000</v>
      </c>
      <c r="F218" s="21" t="n">
        <v>54337</v>
      </c>
      <c r="G218" s="39">
        <f>F218-E218</f>
        <v/>
      </c>
      <c r="H218" s="40">
        <f>IF(E218=0,0,(F218-E218)/E218)</f>
        <v/>
      </c>
      <c r="I218" s="41">
        <f>IF(H218&gt;0.1,"⚠️ Dépassement",IF(H218&lt;-0.1,"✅ Économie","🔵 Normal"))</f>
        <v/>
      </c>
      <c r="J218" s="21">
        <f>SUMPRODUCT((B$3:B218=B218)*(C$3:C218=C218)*(D$3:D218=D218)*E$3:E218)</f>
        <v/>
      </c>
      <c r="K218" s="21">
        <f>SUMPRODUCT((B$3:B218=B218)*(C$3:C218=C218)*(D$3:D218=D218)*F$3:F218)</f>
        <v/>
      </c>
      <c r="L218" s="22">
        <f>IF(J218=0,0,K218/J218)</f>
        <v/>
      </c>
    </row>
    <row r="219">
      <c r="A219" s="37" t="inlineStr">
        <is>
          <t>Juin</t>
        </is>
      </c>
      <c r="B219" s="37" t="n">
        <v>6</v>
      </c>
      <c r="C219" s="37" t="inlineStr">
        <is>
          <t>Production</t>
        </is>
      </c>
      <c r="D219" s="37" t="inlineStr">
        <is>
          <t>Salaires</t>
        </is>
      </c>
      <c r="E219" s="38" t="n">
        <v>220000</v>
      </c>
      <c r="F219" s="38" t="n">
        <v>231368</v>
      </c>
      <c r="G219" s="39">
        <f>F219-E219</f>
        <v/>
      </c>
      <c r="H219" s="40">
        <f>IF(E219=0,0,(F219-E219)/E219)</f>
        <v/>
      </c>
      <c r="I219" s="41">
        <f>IF(H219&gt;0.1,"⚠️ Dépassement",IF(H219&lt;-0.1,"✅ Économie","🔵 Normal"))</f>
        <v/>
      </c>
      <c r="J219" s="38">
        <f>SUMPRODUCT((B$3:B219=B219)*(C$3:C219=C219)*(D$3:D219=D219)*E$3:E219)</f>
        <v/>
      </c>
      <c r="K219" s="38">
        <f>SUMPRODUCT((B$3:B219=B219)*(C$3:C219=C219)*(D$3:D219=D219)*F$3:F219)</f>
        <v/>
      </c>
      <c r="L219" s="42">
        <f>IF(J219=0,0,K219/J219)</f>
        <v/>
      </c>
    </row>
    <row r="220">
      <c r="A220" s="23" t="inlineStr">
        <is>
          <t>Juin</t>
        </is>
      </c>
      <c r="B220" s="23" t="n">
        <v>6</v>
      </c>
      <c r="C220" s="23" t="inlineStr">
        <is>
          <t>Production</t>
        </is>
      </c>
      <c r="D220" s="23" t="inlineStr">
        <is>
          <t>Charges sociales</t>
        </is>
      </c>
      <c r="E220" s="21" t="n">
        <v>66000</v>
      </c>
      <c r="F220" s="21" t="n">
        <v>68434</v>
      </c>
      <c r="G220" s="39">
        <f>F220-E220</f>
        <v/>
      </c>
      <c r="H220" s="40">
        <f>IF(E220=0,0,(F220-E220)/E220)</f>
        <v/>
      </c>
      <c r="I220" s="41">
        <f>IF(H220&gt;0.1,"⚠️ Dépassement",IF(H220&lt;-0.1,"✅ Économie","🔵 Normal"))</f>
        <v/>
      </c>
      <c r="J220" s="21">
        <f>SUMPRODUCT((B$3:B220=B220)*(C$3:C220=C220)*(D$3:D220=D220)*E$3:E220)</f>
        <v/>
      </c>
      <c r="K220" s="21">
        <f>SUMPRODUCT((B$3:B220=B220)*(C$3:C220=C220)*(D$3:D220=D220)*F$3:F220)</f>
        <v/>
      </c>
      <c r="L220" s="22">
        <f>IF(J220=0,0,K220/J220)</f>
        <v/>
      </c>
    </row>
    <row r="221">
      <c r="A221" s="37" t="inlineStr">
        <is>
          <t>Juin</t>
        </is>
      </c>
      <c r="B221" s="37" t="n">
        <v>6</v>
      </c>
      <c r="C221" s="37" t="inlineStr">
        <is>
          <t>Production</t>
        </is>
      </c>
      <c r="D221" s="37" t="inlineStr">
        <is>
          <t>Loyer &amp; Charges</t>
        </is>
      </c>
      <c r="E221" s="38" t="n">
        <v>35000</v>
      </c>
      <c r="F221" s="38" t="n">
        <v>39172</v>
      </c>
      <c r="G221" s="39">
        <f>F221-E221</f>
        <v/>
      </c>
      <c r="H221" s="40">
        <f>IF(E221=0,0,(F221-E221)/E221)</f>
        <v/>
      </c>
      <c r="I221" s="41">
        <f>IF(H221&gt;0.1,"⚠️ Dépassement",IF(H221&lt;-0.1,"✅ Économie","🔵 Normal"))</f>
        <v/>
      </c>
      <c r="J221" s="38">
        <f>SUMPRODUCT((B$3:B221=B221)*(C$3:C221=C221)*(D$3:D221=D221)*E$3:E221)</f>
        <v/>
      </c>
      <c r="K221" s="38">
        <f>SUMPRODUCT((B$3:B221=B221)*(C$3:C221=C221)*(D$3:D221=D221)*F$3:F221)</f>
        <v/>
      </c>
      <c r="L221" s="42">
        <f>IF(J221=0,0,K221/J221)</f>
        <v/>
      </c>
    </row>
    <row r="222">
      <c r="A222" s="23" t="inlineStr">
        <is>
          <t>Juin</t>
        </is>
      </c>
      <c r="B222" s="23" t="n">
        <v>6</v>
      </c>
      <c r="C222" s="23" t="inlineStr">
        <is>
          <t>Production</t>
        </is>
      </c>
      <c r="D222" s="23" t="inlineStr">
        <is>
          <t>Matières &amp; Fournitures</t>
        </is>
      </c>
      <c r="E222" s="21" t="n">
        <v>85000</v>
      </c>
      <c r="F222" s="21" t="n">
        <v>71644</v>
      </c>
      <c r="G222" s="39">
        <f>F222-E222</f>
        <v/>
      </c>
      <c r="H222" s="40">
        <f>IF(E222=0,0,(F222-E222)/E222)</f>
        <v/>
      </c>
      <c r="I222" s="41">
        <f>IF(H222&gt;0.1,"⚠️ Dépassement",IF(H222&lt;-0.1,"✅ Économie","🔵 Normal"))</f>
        <v/>
      </c>
      <c r="J222" s="21">
        <f>SUMPRODUCT((B$3:B222=B222)*(C$3:C222=C222)*(D$3:D222=D222)*E$3:E222)</f>
        <v/>
      </c>
      <c r="K222" s="21">
        <f>SUMPRODUCT((B$3:B222=B222)*(C$3:C222=C222)*(D$3:D222=D222)*F$3:F222)</f>
        <v/>
      </c>
      <c r="L222" s="22">
        <f>IF(J222=0,0,K222/J222)</f>
        <v/>
      </c>
    </row>
    <row r="223">
      <c r="A223" s="37" t="inlineStr">
        <is>
          <t>Juin</t>
        </is>
      </c>
      <c r="B223" s="37" t="n">
        <v>6</v>
      </c>
      <c r="C223" s="37" t="inlineStr">
        <is>
          <t>Production</t>
        </is>
      </c>
      <c r="D223" s="37" t="inlineStr">
        <is>
          <t>Informatique &amp; Licences</t>
        </is>
      </c>
      <c r="E223" s="38" t="n">
        <v>12000</v>
      </c>
      <c r="F223" s="38" t="n">
        <v>12644</v>
      </c>
      <c r="G223" s="39">
        <f>F223-E223</f>
        <v/>
      </c>
      <c r="H223" s="40">
        <f>IF(E223=0,0,(F223-E223)/E223)</f>
        <v/>
      </c>
      <c r="I223" s="41">
        <f>IF(H223&gt;0.1,"⚠️ Dépassement",IF(H223&lt;-0.1,"✅ Économie","🔵 Normal"))</f>
        <v/>
      </c>
      <c r="J223" s="38">
        <f>SUMPRODUCT((B$3:B223=B223)*(C$3:C223=C223)*(D$3:D223=D223)*E$3:E223)</f>
        <v/>
      </c>
      <c r="K223" s="38">
        <f>SUMPRODUCT((B$3:B223=B223)*(C$3:C223=C223)*(D$3:D223=D223)*F$3:F223)</f>
        <v/>
      </c>
      <c r="L223" s="42">
        <f>IF(J223=0,0,K223/J223)</f>
        <v/>
      </c>
    </row>
    <row r="224">
      <c r="A224" s="23" t="inlineStr">
        <is>
          <t>Juin</t>
        </is>
      </c>
      <c r="B224" s="23" t="n">
        <v>6</v>
      </c>
      <c r="C224" s="23" t="inlineStr">
        <is>
          <t>Production</t>
        </is>
      </c>
      <c r="D224" s="23" t="inlineStr">
        <is>
          <t>Déplacements &amp; Missions</t>
        </is>
      </c>
      <c r="E224" s="21" t="n">
        <v>10000</v>
      </c>
      <c r="F224" s="21" t="n">
        <v>10211</v>
      </c>
      <c r="G224" s="39">
        <f>F224-E224</f>
        <v/>
      </c>
      <c r="H224" s="40">
        <f>IF(E224=0,0,(F224-E224)/E224)</f>
        <v/>
      </c>
      <c r="I224" s="41">
        <f>IF(H224&gt;0.1,"⚠️ Dépassement",IF(H224&lt;-0.1,"✅ Économie","🔵 Normal"))</f>
        <v/>
      </c>
      <c r="J224" s="21">
        <f>SUMPRODUCT((B$3:B224=B224)*(C$3:C224=C224)*(D$3:D224=D224)*E$3:E224)</f>
        <v/>
      </c>
      <c r="K224" s="21">
        <f>SUMPRODUCT((B$3:B224=B224)*(C$3:C224=C224)*(D$3:D224=D224)*F$3:F224)</f>
        <v/>
      </c>
      <c r="L224" s="22">
        <f>IF(J224=0,0,K224/J224)</f>
        <v/>
      </c>
    </row>
    <row r="225">
      <c r="A225" s="37" t="inlineStr">
        <is>
          <t>Juin</t>
        </is>
      </c>
      <c r="B225" s="37" t="n">
        <v>6</v>
      </c>
      <c r="C225" s="37" t="inlineStr">
        <is>
          <t>Production</t>
        </is>
      </c>
      <c r="D225" s="37" t="inlineStr">
        <is>
          <t>Formation</t>
        </is>
      </c>
      <c r="E225" s="38" t="n">
        <v>15000</v>
      </c>
      <c r="F225" s="38" t="n">
        <v>17416</v>
      </c>
      <c r="G225" s="39">
        <f>F225-E225</f>
        <v/>
      </c>
      <c r="H225" s="40">
        <f>IF(E225=0,0,(F225-E225)/E225)</f>
        <v/>
      </c>
      <c r="I225" s="41">
        <f>IF(H225&gt;0.1,"⚠️ Dépassement",IF(H225&lt;-0.1,"✅ Économie","🔵 Normal"))</f>
        <v/>
      </c>
      <c r="J225" s="38">
        <f>SUMPRODUCT((B$3:B225=B225)*(C$3:C225=C225)*(D$3:D225=D225)*E$3:E225)</f>
        <v/>
      </c>
      <c r="K225" s="38">
        <f>SUMPRODUCT((B$3:B225=B225)*(C$3:C225=C225)*(D$3:D225=D225)*F$3:F225)</f>
        <v/>
      </c>
      <c r="L225" s="42">
        <f>IF(J225=0,0,K225/J225)</f>
        <v/>
      </c>
    </row>
    <row r="226">
      <c r="A226" s="23" t="inlineStr">
        <is>
          <t>Juin</t>
        </is>
      </c>
      <c r="B226" s="23" t="n">
        <v>6</v>
      </c>
      <c r="C226" s="23" t="inlineStr">
        <is>
          <t>Production</t>
        </is>
      </c>
      <c r="D226" s="23" t="inlineStr">
        <is>
          <t>Publicité &amp; Communication</t>
        </is>
      </c>
      <c r="E226" s="21" t="n">
        <v>5000</v>
      </c>
      <c r="F226" s="21" t="n">
        <v>4415</v>
      </c>
      <c r="G226" s="39">
        <f>F226-E226</f>
        <v/>
      </c>
      <c r="H226" s="40">
        <f>IF(E226=0,0,(F226-E226)/E226)</f>
        <v/>
      </c>
      <c r="I226" s="41">
        <f>IF(H226&gt;0.1,"⚠️ Dépassement",IF(H226&lt;-0.1,"✅ Économie","🔵 Normal"))</f>
        <v/>
      </c>
      <c r="J226" s="21">
        <f>SUMPRODUCT((B$3:B226=B226)*(C$3:C226=C226)*(D$3:D226=D226)*E$3:E226)</f>
        <v/>
      </c>
      <c r="K226" s="21">
        <f>SUMPRODUCT((B$3:B226=B226)*(C$3:C226=C226)*(D$3:D226=D226)*F$3:F226)</f>
        <v/>
      </c>
      <c r="L226" s="22">
        <f>IF(J226=0,0,K226/J226)</f>
        <v/>
      </c>
    </row>
    <row r="227">
      <c r="A227" s="37" t="inlineStr">
        <is>
          <t>Juin</t>
        </is>
      </c>
      <c r="B227" s="37" t="n">
        <v>6</v>
      </c>
      <c r="C227" s="37" t="inlineStr">
        <is>
          <t>IT</t>
        </is>
      </c>
      <c r="D227" s="37" t="inlineStr">
        <is>
          <t>Salaires</t>
        </is>
      </c>
      <c r="E227" s="38" t="n">
        <v>130000</v>
      </c>
      <c r="F227" s="38" t="n">
        <v>156561</v>
      </c>
      <c r="G227" s="39">
        <f>F227-E227</f>
        <v/>
      </c>
      <c r="H227" s="40">
        <f>IF(E227=0,0,(F227-E227)/E227)</f>
        <v/>
      </c>
      <c r="I227" s="41">
        <f>IF(H227&gt;0.1,"⚠️ Dépassement",IF(H227&lt;-0.1,"✅ Économie","🔵 Normal"))</f>
        <v/>
      </c>
      <c r="J227" s="38">
        <f>SUMPRODUCT((B$3:B227=B227)*(C$3:C227=C227)*(D$3:D227=D227)*E$3:E227)</f>
        <v/>
      </c>
      <c r="K227" s="38">
        <f>SUMPRODUCT((B$3:B227=B227)*(C$3:C227=C227)*(D$3:D227=D227)*F$3:F227)</f>
        <v/>
      </c>
      <c r="L227" s="42">
        <f>IF(J227=0,0,K227/J227)</f>
        <v/>
      </c>
    </row>
    <row r="228">
      <c r="A228" s="23" t="inlineStr">
        <is>
          <t>Juin</t>
        </is>
      </c>
      <c r="B228" s="23" t="n">
        <v>6</v>
      </c>
      <c r="C228" s="23" t="inlineStr">
        <is>
          <t>IT</t>
        </is>
      </c>
      <c r="D228" s="23" t="inlineStr">
        <is>
          <t>Charges sociales</t>
        </is>
      </c>
      <c r="E228" s="21" t="n">
        <v>39000</v>
      </c>
      <c r="F228" s="21" t="n">
        <v>33230</v>
      </c>
      <c r="G228" s="39">
        <f>F228-E228</f>
        <v/>
      </c>
      <c r="H228" s="40">
        <f>IF(E228=0,0,(F228-E228)/E228)</f>
        <v/>
      </c>
      <c r="I228" s="41">
        <f>IF(H228&gt;0.1,"⚠️ Dépassement",IF(H228&lt;-0.1,"✅ Économie","🔵 Normal"))</f>
        <v/>
      </c>
      <c r="J228" s="21">
        <f>SUMPRODUCT((B$3:B228=B228)*(C$3:C228=C228)*(D$3:D228=D228)*E$3:E228)</f>
        <v/>
      </c>
      <c r="K228" s="21">
        <f>SUMPRODUCT((B$3:B228=B228)*(C$3:C228=C228)*(D$3:D228=D228)*F$3:F228)</f>
        <v/>
      </c>
      <c r="L228" s="22">
        <f>IF(J228=0,0,K228/J228)</f>
        <v/>
      </c>
    </row>
    <row r="229">
      <c r="A229" s="37" t="inlineStr">
        <is>
          <t>Juin</t>
        </is>
      </c>
      <c r="B229" s="37" t="n">
        <v>6</v>
      </c>
      <c r="C229" s="37" t="inlineStr">
        <is>
          <t>IT</t>
        </is>
      </c>
      <c r="D229" s="37" t="inlineStr">
        <is>
          <t>Loyer &amp; Charges</t>
        </is>
      </c>
      <c r="E229" s="38" t="n">
        <v>10000</v>
      </c>
      <c r="F229" s="38" t="n">
        <v>8943</v>
      </c>
      <c r="G229" s="39">
        <f>F229-E229</f>
        <v/>
      </c>
      <c r="H229" s="40">
        <f>IF(E229=0,0,(F229-E229)/E229)</f>
        <v/>
      </c>
      <c r="I229" s="41">
        <f>IF(H229&gt;0.1,"⚠️ Dépassement",IF(H229&lt;-0.1,"✅ Économie","🔵 Normal"))</f>
        <v/>
      </c>
      <c r="J229" s="38">
        <f>SUMPRODUCT((B$3:B229=B229)*(C$3:C229=C229)*(D$3:D229=D229)*E$3:E229)</f>
        <v/>
      </c>
      <c r="K229" s="38">
        <f>SUMPRODUCT((B$3:B229=B229)*(C$3:C229=C229)*(D$3:D229=D229)*F$3:F229)</f>
        <v/>
      </c>
      <c r="L229" s="42">
        <f>IF(J229=0,0,K229/J229)</f>
        <v/>
      </c>
    </row>
    <row r="230">
      <c r="A230" s="23" t="inlineStr">
        <is>
          <t>Juin</t>
        </is>
      </c>
      <c r="B230" s="23" t="n">
        <v>6</v>
      </c>
      <c r="C230" s="23" t="inlineStr">
        <is>
          <t>IT</t>
        </is>
      </c>
      <c r="D230" s="23" t="inlineStr">
        <is>
          <t>Matières &amp; Fournitures</t>
        </is>
      </c>
      <c r="E230" s="21" t="n">
        <v>20000</v>
      </c>
      <c r="F230" s="21" t="n">
        <v>21160</v>
      </c>
      <c r="G230" s="39">
        <f>F230-E230</f>
        <v/>
      </c>
      <c r="H230" s="40">
        <f>IF(E230=0,0,(F230-E230)/E230)</f>
        <v/>
      </c>
      <c r="I230" s="41">
        <f>IF(H230&gt;0.1,"⚠️ Dépassement",IF(H230&lt;-0.1,"✅ Économie","🔵 Normal"))</f>
        <v/>
      </c>
      <c r="J230" s="21">
        <f>SUMPRODUCT((B$3:B230=B230)*(C$3:C230=C230)*(D$3:D230=D230)*E$3:E230)</f>
        <v/>
      </c>
      <c r="K230" s="21">
        <f>SUMPRODUCT((B$3:B230=B230)*(C$3:C230=C230)*(D$3:D230=D230)*F$3:F230)</f>
        <v/>
      </c>
      <c r="L230" s="22">
        <f>IF(J230=0,0,K230/J230)</f>
        <v/>
      </c>
    </row>
    <row r="231">
      <c r="A231" s="37" t="inlineStr">
        <is>
          <t>Juin</t>
        </is>
      </c>
      <c r="B231" s="37" t="n">
        <v>6</v>
      </c>
      <c r="C231" s="37" t="inlineStr">
        <is>
          <t>IT</t>
        </is>
      </c>
      <c r="D231" s="37" t="inlineStr">
        <is>
          <t>Informatique &amp; Licences</t>
        </is>
      </c>
      <c r="E231" s="38" t="n">
        <v>50000</v>
      </c>
      <c r="F231" s="38" t="n">
        <v>54504</v>
      </c>
      <c r="G231" s="39">
        <f>F231-E231</f>
        <v/>
      </c>
      <c r="H231" s="40">
        <f>IF(E231=0,0,(F231-E231)/E231)</f>
        <v/>
      </c>
      <c r="I231" s="41">
        <f>IF(H231&gt;0.1,"⚠️ Dépassement",IF(H231&lt;-0.1,"✅ Économie","🔵 Normal"))</f>
        <v/>
      </c>
      <c r="J231" s="38">
        <f>SUMPRODUCT((B$3:B231=B231)*(C$3:C231=C231)*(D$3:D231=D231)*E$3:E231)</f>
        <v/>
      </c>
      <c r="K231" s="38">
        <f>SUMPRODUCT((B$3:B231=B231)*(C$3:C231=C231)*(D$3:D231=D231)*F$3:F231)</f>
        <v/>
      </c>
      <c r="L231" s="42">
        <f>IF(J231=0,0,K231/J231)</f>
        <v/>
      </c>
    </row>
    <row r="232">
      <c r="A232" s="23" t="inlineStr">
        <is>
          <t>Juin</t>
        </is>
      </c>
      <c r="B232" s="23" t="n">
        <v>6</v>
      </c>
      <c r="C232" s="23" t="inlineStr">
        <is>
          <t>IT</t>
        </is>
      </c>
      <c r="D232" s="23" t="inlineStr">
        <is>
          <t>Déplacements &amp; Missions</t>
        </is>
      </c>
      <c r="E232" s="21" t="n">
        <v>8000</v>
      </c>
      <c r="F232" s="21" t="n">
        <v>7313</v>
      </c>
      <c r="G232" s="39">
        <f>F232-E232</f>
        <v/>
      </c>
      <c r="H232" s="40">
        <f>IF(E232=0,0,(F232-E232)/E232)</f>
        <v/>
      </c>
      <c r="I232" s="41">
        <f>IF(H232&gt;0.1,"⚠️ Dépassement",IF(H232&lt;-0.1,"✅ Économie","🔵 Normal"))</f>
        <v/>
      </c>
      <c r="J232" s="21">
        <f>SUMPRODUCT((B$3:B232=B232)*(C$3:C232=C232)*(D$3:D232=D232)*E$3:E232)</f>
        <v/>
      </c>
      <c r="K232" s="21">
        <f>SUMPRODUCT((B$3:B232=B232)*(C$3:C232=C232)*(D$3:D232=D232)*F$3:F232)</f>
        <v/>
      </c>
      <c r="L232" s="22">
        <f>IF(J232=0,0,K232/J232)</f>
        <v/>
      </c>
    </row>
    <row r="233">
      <c r="A233" s="37" t="inlineStr">
        <is>
          <t>Juin</t>
        </is>
      </c>
      <c r="B233" s="37" t="n">
        <v>6</v>
      </c>
      <c r="C233" s="37" t="inlineStr">
        <is>
          <t>IT</t>
        </is>
      </c>
      <c r="D233" s="37" t="inlineStr">
        <is>
          <t>Formation</t>
        </is>
      </c>
      <c r="E233" s="38" t="n">
        <v>18000</v>
      </c>
      <c r="F233" s="38" t="n">
        <v>15623</v>
      </c>
      <c r="G233" s="39">
        <f>F233-E233</f>
        <v/>
      </c>
      <c r="H233" s="40">
        <f>IF(E233=0,0,(F233-E233)/E233)</f>
        <v/>
      </c>
      <c r="I233" s="41">
        <f>IF(H233&gt;0.1,"⚠️ Dépassement",IF(H233&lt;-0.1,"✅ Économie","🔵 Normal"))</f>
        <v/>
      </c>
      <c r="J233" s="38">
        <f>SUMPRODUCT((B$3:B233=B233)*(C$3:C233=C233)*(D$3:D233=D233)*E$3:E233)</f>
        <v/>
      </c>
      <c r="K233" s="38">
        <f>SUMPRODUCT((B$3:B233=B233)*(C$3:C233=C233)*(D$3:D233=D233)*F$3:F233)</f>
        <v/>
      </c>
      <c r="L233" s="42">
        <f>IF(J233=0,0,K233/J233)</f>
        <v/>
      </c>
    </row>
    <row r="234">
      <c r="A234" s="23" t="inlineStr">
        <is>
          <t>Juin</t>
        </is>
      </c>
      <c r="B234" s="23" t="n">
        <v>6</v>
      </c>
      <c r="C234" s="23" t="inlineStr">
        <is>
          <t>IT</t>
        </is>
      </c>
      <c r="D234" s="23" t="inlineStr">
        <is>
          <t>Publicité &amp; Communication</t>
        </is>
      </c>
      <c r="E234" s="21" t="n">
        <v>4000</v>
      </c>
      <c r="F234" s="21" t="n">
        <v>4704</v>
      </c>
      <c r="G234" s="39">
        <f>F234-E234</f>
        <v/>
      </c>
      <c r="H234" s="40">
        <f>IF(E234=0,0,(F234-E234)/E234)</f>
        <v/>
      </c>
      <c r="I234" s="41">
        <f>IF(H234&gt;0.1,"⚠️ Dépassement",IF(H234&lt;-0.1,"✅ Économie","🔵 Normal"))</f>
        <v/>
      </c>
      <c r="J234" s="21">
        <f>SUMPRODUCT((B$3:B234=B234)*(C$3:C234=C234)*(D$3:D234=D234)*E$3:E234)</f>
        <v/>
      </c>
      <c r="K234" s="21">
        <f>SUMPRODUCT((B$3:B234=B234)*(C$3:C234=C234)*(D$3:D234=D234)*F$3:F234)</f>
        <v/>
      </c>
      <c r="L234" s="22">
        <f>IF(J234=0,0,K234/J234)</f>
        <v/>
      </c>
    </row>
    <row r="235">
      <c r="A235" s="37" t="inlineStr">
        <is>
          <t>Juin</t>
        </is>
      </c>
      <c r="B235" s="37" t="n">
        <v>6</v>
      </c>
      <c r="C235" s="37" t="inlineStr">
        <is>
          <t>Administration</t>
        </is>
      </c>
      <c r="D235" s="37" t="inlineStr">
        <is>
          <t>Salaires</t>
        </is>
      </c>
      <c r="E235" s="38" t="n">
        <v>75000</v>
      </c>
      <c r="F235" s="38" t="n">
        <v>68886</v>
      </c>
      <c r="G235" s="39">
        <f>F235-E235</f>
        <v/>
      </c>
      <c r="H235" s="40">
        <f>IF(E235=0,0,(F235-E235)/E235)</f>
        <v/>
      </c>
      <c r="I235" s="41">
        <f>IF(H235&gt;0.1,"⚠️ Dépassement",IF(H235&lt;-0.1,"✅ Économie","🔵 Normal"))</f>
        <v/>
      </c>
      <c r="J235" s="38">
        <f>SUMPRODUCT((B$3:B235=B235)*(C$3:C235=C235)*(D$3:D235=D235)*E$3:E235)</f>
        <v/>
      </c>
      <c r="K235" s="38">
        <f>SUMPRODUCT((B$3:B235=B235)*(C$3:C235=C235)*(D$3:D235=D235)*F$3:F235)</f>
        <v/>
      </c>
      <c r="L235" s="42">
        <f>IF(J235=0,0,K235/J235)</f>
        <v/>
      </c>
    </row>
    <row r="236">
      <c r="A236" s="23" t="inlineStr">
        <is>
          <t>Juin</t>
        </is>
      </c>
      <c r="B236" s="23" t="n">
        <v>6</v>
      </c>
      <c r="C236" s="23" t="inlineStr">
        <is>
          <t>Administration</t>
        </is>
      </c>
      <c r="D236" s="23" t="inlineStr">
        <is>
          <t>Charges sociales</t>
        </is>
      </c>
      <c r="E236" s="21" t="n">
        <v>22500</v>
      </c>
      <c r="F236" s="21" t="n">
        <v>23801</v>
      </c>
      <c r="G236" s="39">
        <f>F236-E236</f>
        <v/>
      </c>
      <c r="H236" s="40">
        <f>IF(E236=0,0,(F236-E236)/E236)</f>
        <v/>
      </c>
      <c r="I236" s="41">
        <f>IF(H236&gt;0.1,"⚠️ Dépassement",IF(H236&lt;-0.1,"✅ Économie","🔵 Normal"))</f>
        <v/>
      </c>
      <c r="J236" s="21">
        <f>SUMPRODUCT((B$3:B236=B236)*(C$3:C236=C236)*(D$3:D236=D236)*E$3:E236)</f>
        <v/>
      </c>
      <c r="K236" s="21">
        <f>SUMPRODUCT((B$3:B236=B236)*(C$3:C236=C236)*(D$3:D236=D236)*F$3:F236)</f>
        <v/>
      </c>
      <c r="L236" s="22">
        <f>IF(J236=0,0,K236/J236)</f>
        <v/>
      </c>
    </row>
    <row r="237">
      <c r="A237" s="37" t="inlineStr">
        <is>
          <t>Juin</t>
        </is>
      </c>
      <c r="B237" s="37" t="n">
        <v>6</v>
      </c>
      <c r="C237" s="37" t="inlineStr">
        <is>
          <t>Administration</t>
        </is>
      </c>
      <c r="D237" s="37" t="inlineStr">
        <is>
          <t>Loyer &amp; Charges</t>
        </is>
      </c>
      <c r="E237" s="38" t="n">
        <v>18000</v>
      </c>
      <c r="F237" s="38" t="n">
        <v>19220</v>
      </c>
      <c r="G237" s="39">
        <f>F237-E237</f>
        <v/>
      </c>
      <c r="H237" s="40">
        <f>IF(E237=0,0,(F237-E237)/E237)</f>
        <v/>
      </c>
      <c r="I237" s="41">
        <f>IF(H237&gt;0.1,"⚠️ Dépassement",IF(H237&lt;-0.1,"✅ Économie","🔵 Normal"))</f>
        <v/>
      </c>
      <c r="J237" s="38">
        <f>SUMPRODUCT((B$3:B237=B237)*(C$3:C237=C237)*(D$3:D237=D237)*E$3:E237)</f>
        <v/>
      </c>
      <c r="K237" s="38">
        <f>SUMPRODUCT((B$3:B237=B237)*(C$3:C237=C237)*(D$3:D237=D237)*F$3:F237)</f>
        <v/>
      </c>
      <c r="L237" s="42">
        <f>IF(J237=0,0,K237/J237)</f>
        <v/>
      </c>
    </row>
    <row r="238">
      <c r="A238" s="23" t="inlineStr">
        <is>
          <t>Juin</t>
        </is>
      </c>
      <c r="B238" s="23" t="n">
        <v>6</v>
      </c>
      <c r="C238" s="23" t="inlineStr">
        <is>
          <t>Administration</t>
        </is>
      </c>
      <c r="D238" s="23" t="inlineStr">
        <is>
          <t>Matières &amp; Fournitures</t>
        </is>
      </c>
      <c r="E238" s="21" t="n">
        <v>12000</v>
      </c>
      <c r="F238" s="21" t="n">
        <v>11852</v>
      </c>
      <c r="G238" s="39">
        <f>F238-E238</f>
        <v/>
      </c>
      <c r="H238" s="40">
        <f>IF(E238=0,0,(F238-E238)/E238)</f>
        <v/>
      </c>
      <c r="I238" s="41">
        <f>IF(H238&gt;0.1,"⚠️ Dépassement",IF(H238&lt;-0.1,"✅ Économie","🔵 Normal"))</f>
        <v/>
      </c>
      <c r="J238" s="21">
        <f>SUMPRODUCT((B$3:B238=B238)*(C$3:C238=C238)*(D$3:D238=D238)*E$3:E238)</f>
        <v/>
      </c>
      <c r="K238" s="21">
        <f>SUMPRODUCT((B$3:B238=B238)*(C$3:C238=C238)*(D$3:D238=D238)*F$3:F238)</f>
        <v/>
      </c>
      <c r="L238" s="22">
        <f>IF(J238=0,0,K238/J238)</f>
        <v/>
      </c>
    </row>
    <row r="239">
      <c r="A239" s="37" t="inlineStr">
        <is>
          <t>Juin</t>
        </is>
      </c>
      <c r="B239" s="37" t="n">
        <v>6</v>
      </c>
      <c r="C239" s="37" t="inlineStr">
        <is>
          <t>Administration</t>
        </is>
      </c>
      <c r="D239" s="37" t="inlineStr">
        <is>
          <t>Informatique &amp; Licences</t>
        </is>
      </c>
      <c r="E239" s="38" t="n">
        <v>6000</v>
      </c>
      <c r="F239" s="38" t="n">
        <v>6321</v>
      </c>
      <c r="G239" s="39">
        <f>F239-E239</f>
        <v/>
      </c>
      <c r="H239" s="40">
        <f>IF(E239=0,0,(F239-E239)/E239)</f>
        <v/>
      </c>
      <c r="I239" s="41">
        <f>IF(H239&gt;0.1,"⚠️ Dépassement",IF(H239&lt;-0.1,"✅ Économie","🔵 Normal"))</f>
        <v/>
      </c>
      <c r="J239" s="38">
        <f>SUMPRODUCT((B$3:B239=B239)*(C$3:C239=C239)*(D$3:D239=D239)*E$3:E239)</f>
        <v/>
      </c>
      <c r="K239" s="38">
        <f>SUMPRODUCT((B$3:B239=B239)*(C$3:C239=C239)*(D$3:D239=D239)*F$3:F239)</f>
        <v/>
      </c>
      <c r="L239" s="42">
        <f>IF(J239=0,0,K239/J239)</f>
        <v/>
      </c>
    </row>
    <row r="240">
      <c r="A240" s="23" t="inlineStr">
        <is>
          <t>Juin</t>
        </is>
      </c>
      <c r="B240" s="23" t="n">
        <v>6</v>
      </c>
      <c r="C240" s="23" t="inlineStr">
        <is>
          <t>Administration</t>
        </is>
      </c>
      <c r="D240" s="23" t="inlineStr">
        <is>
          <t>Déplacements &amp; Missions</t>
        </is>
      </c>
      <c r="E240" s="21" t="n">
        <v>9000</v>
      </c>
      <c r="F240" s="21" t="n">
        <v>9262</v>
      </c>
      <c r="G240" s="39">
        <f>F240-E240</f>
        <v/>
      </c>
      <c r="H240" s="40">
        <f>IF(E240=0,0,(F240-E240)/E240)</f>
        <v/>
      </c>
      <c r="I240" s="41">
        <f>IF(H240&gt;0.1,"⚠️ Dépassement",IF(H240&lt;-0.1,"✅ Économie","🔵 Normal"))</f>
        <v/>
      </c>
      <c r="J240" s="21">
        <f>SUMPRODUCT((B$3:B240=B240)*(C$3:C240=C240)*(D$3:D240=D240)*E$3:E240)</f>
        <v/>
      </c>
      <c r="K240" s="21">
        <f>SUMPRODUCT((B$3:B240=B240)*(C$3:C240=C240)*(D$3:D240=D240)*F$3:F240)</f>
        <v/>
      </c>
      <c r="L240" s="22">
        <f>IF(J240=0,0,K240/J240)</f>
        <v/>
      </c>
    </row>
    <row r="241">
      <c r="A241" s="37" t="inlineStr">
        <is>
          <t>Juin</t>
        </is>
      </c>
      <c r="B241" s="37" t="n">
        <v>6</v>
      </c>
      <c r="C241" s="37" t="inlineStr">
        <is>
          <t>Administration</t>
        </is>
      </c>
      <c r="D241" s="37" t="inlineStr">
        <is>
          <t>Formation</t>
        </is>
      </c>
      <c r="E241" s="38" t="n">
        <v>5000</v>
      </c>
      <c r="F241" s="38" t="n">
        <v>5969</v>
      </c>
      <c r="G241" s="39">
        <f>F241-E241</f>
        <v/>
      </c>
      <c r="H241" s="40">
        <f>IF(E241=0,0,(F241-E241)/E241)</f>
        <v/>
      </c>
      <c r="I241" s="41">
        <f>IF(H241&gt;0.1,"⚠️ Dépassement",IF(H241&lt;-0.1,"✅ Économie","🔵 Normal"))</f>
        <v/>
      </c>
      <c r="J241" s="38">
        <f>SUMPRODUCT((B$3:B241=B241)*(C$3:C241=C241)*(D$3:D241=D241)*E$3:E241)</f>
        <v/>
      </c>
      <c r="K241" s="38">
        <f>SUMPRODUCT((B$3:B241=B241)*(C$3:C241=C241)*(D$3:D241=D241)*F$3:F241)</f>
        <v/>
      </c>
      <c r="L241" s="42">
        <f>IF(J241=0,0,K241/J241)</f>
        <v/>
      </c>
    </row>
    <row r="242">
      <c r="A242" s="23" t="inlineStr">
        <is>
          <t>Juin</t>
        </is>
      </c>
      <c r="B242" s="23" t="n">
        <v>6</v>
      </c>
      <c r="C242" s="23" t="inlineStr">
        <is>
          <t>Administration</t>
        </is>
      </c>
      <c r="D242" s="23" t="inlineStr">
        <is>
          <t>Publicité &amp; Communication</t>
        </is>
      </c>
      <c r="E242" s="21" t="n">
        <v>2000</v>
      </c>
      <c r="F242" s="21" t="n">
        <v>1803</v>
      </c>
      <c r="G242" s="39">
        <f>F242-E242</f>
        <v/>
      </c>
      <c r="H242" s="40">
        <f>IF(E242=0,0,(F242-E242)/E242)</f>
        <v/>
      </c>
      <c r="I242" s="41">
        <f>IF(H242&gt;0.1,"⚠️ Dépassement",IF(H242&lt;-0.1,"✅ Économie","🔵 Normal"))</f>
        <v/>
      </c>
      <c r="J242" s="21">
        <f>SUMPRODUCT((B$3:B242=B242)*(C$3:C242=C242)*(D$3:D242=D242)*E$3:E242)</f>
        <v/>
      </c>
      <c r="K242" s="21">
        <f>SUMPRODUCT((B$3:B242=B242)*(C$3:C242=C242)*(D$3:D242=D242)*F$3:F242)</f>
        <v/>
      </c>
      <c r="L242" s="22">
        <f>IF(J242=0,0,K242/J242)</f>
        <v/>
      </c>
    </row>
    <row r="243">
      <c r="A243" s="37" t="inlineStr">
        <is>
          <t>Juillet</t>
        </is>
      </c>
      <c r="B243" s="37" t="n">
        <v>7</v>
      </c>
      <c r="C243" s="37" t="inlineStr">
        <is>
          <t>RH</t>
        </is>
      </c>
      <c r="D243" s="37" t="inlineStr">
        <is>
          <t>Salaires</t>
        </is>
      </c>
      <c r="E243" s="38" t="n">
        <v>180000</v>
      </c>
      <c r="F243" s="38" t="n">
        <v>199166</v>
      </c>
      <c r="G243" s="39">
        <f>F243-E243</f>
        <v/>
      </c>
      <c r="H243" s="40">
        <f>IF(E243=0,0,(F243-E243)/E243)</f>
        <v/>
      </c>
      <c r="I243" s="41">
        <f>IF(H243&gt;0.1,"⚠️ Dépassement",IF(H243&lt;-0.1,"✅ Économie","🔵 Normal"))</f>
        <v/>
      </c>
      <c r="J243" s="38">
        <f>SUMPRODUCT((B$3:B243=B243)*(C$3:C243=C243)*(D$3:D243=D243)*E$3:E243)</f>
        <v/>
      </c>
      <c r="K243" s="38">
        <f>SUMPRODUCT((B$3:B243=B243)*(C$3:C243=C243)*(D$3:D243=D243)*F$3:F243)</f>
        <v/>
      </c>
      <c r="L243" s="42">
        <f>IF(J243=0,0,K243/J243)</f>
        <v/>
      </c>
    </row>
    <row r="244">
      <c r="A244" s="23" t="inlineStr">
        <is>
          <t>Juillet</t>
        </is>
      </c>
      <c r="B244" s="23" t="n">
        <v>7</v>
      </c>
      <c r="C244" s="23" t="inlineStr">
        <is>
          <t>RH</t>
        </is>
      </c>
      <c r="D244" s="23" t="inlineStr">
        <is>
          <t>Charges sociales</t>
        </is>
      </c>
      <c r="E244" s="21" t="n">
        <v>54000</v>
      </c>
      <c r="F244" s="21" t="n">
        <v>49436</v>
      </c>
      <c r="G244" s="39">
        <f>F244-E244</f>
        <v/>
      </c>
      <c r="H244" s="40">
        <f>IF(E244=0,0,(F244-E244)/E244)</f>
        <v/>
      </c>
      <c r="I244" s="41">
        <f>IF(H244&gt;0.1,"⚠️ Dépassement",IF(H244&lt;-0.1,"✅ Économie","🔵 Normal"))</f>
        <v/>
      </c>
      <c r="J244" s="21">
        <f>SUMPRODUCT((B$3:B244=B244)*(C$3:C244=C244)*(D$3:D244=D244)*E$3:E244)</f>
        <v/>
      </c>
      <c r="K244" s="21">
        <f>SUMPRODUCT((B$3:B244=B244)*(C$3:C244=C244)*(D$3:D244=D244)*F$3:F244)</f>
        <v/>
      </c>
      <c r="L244" s="22">
        <f>IF(J244=0,0,K244/J244)</f>
        <v/>
      </c>
    </row>
    <row r="245">
      <c r="A245" s="37" t="inlineStr">
        <is>
          <t>Juillet</t>
        </is>
      </c>
      <c r="B245" s="37" t="n">
        <v>7</v>
      </c>
      <c r="C245" s="37" t="inlineStr">
        <is>
          <t>RH</t>
        </is>
      </c>
      <c r="D245" s="37" t="inlineStr">
        <is>
          <t>Loyer &amp; Charges</t>
        </is>
      </c>
      <c r="E245" s="38" t="n">
        <v>15000</v>
      </c>
      <c r="F245" s="38" t="n">
        <v>14675</v>
      </c>
      <c r="G245" s="39">
        <f>F245-E245</f>
        <v/>
      </c>
      <c r="H245" s="40">
        <f>IF(E245=0,0,(F245-E245)/E245)</f>
        <v/>
      </c>
      <c r="I245" s="41">
        <f>IF(H245&gt;0.1,"⚠️ Dépassement",IF(H245&lt;-0.1,"✅ Économie","🔵 Normal"))</f>
        <v/>
      </c>
      <c r="J245" s="38">
        <f>SUMPRODUCT((B$3:B245=B245)*(C$3:C245=C245)*(D$3:D245=D245)*E$3:E245)</f>
        <v/>
      </c>
      <c r="K245" s="38">
        <f>SUMPRODUCT((B$3:B245=B245)*(C$3:C245=C245)*(D$3:D245=D245)*F$3:F245)</f>
        <v/>
      </c>
      <c r="L245" s="42">
        <f>IF(J245=0,0,K245/J245)</f>
        <v/>
      </c>
    </row>
    <row r="246">
      <c r="A246" s="23" t="inlineStr">
        <is>
          <t>Juillet</t>
        </is>
      </c>
      <c r="B246" s="23" t="n">
        <v>7</v>
      </c>
      <c r="C246" s="23" t="inlineStr">
        <is>
          <t>RH</t>
        </is>
      </c>
      <c r="D246" s="23" t="inlineStr">
        <is>
          <t>Matières &amp; Fournitures</t>
        </is>
      </c>
      <c r="E246" s="21" t="n">
        <v>8000</v>
      </c>
      <c r="F246" s="21" t="n">
        <v>8709</v>
      </c>
      <c r="G246" s="39">
        <f>F246-E246</f>
        <v/>
      </c>
      <c r="H246" s="40">
        <f>IF(E246=0,0,(F246-E246)/E246)</f>
        <v/>
      </c>
      <c r="I246" s="41">
        <f>IF(H246&gt;0.1,"⚠️ Dépassement",IF(H246&lt;-0.1,"✅ Économie","🔵 Normal"))</f>
        <v/>
      </c>
      <c r="J246" s="21">
        <f>SUMPRODUCT((B$3:B246=B246)*(C$3:C246=C246)*(D$3:D246=D246)*E$3:E246)</f>
        <v/>
      </c>
      <c r="K246" s="21">
        <f>SUMPRODUCT((B$3:B246=B246)*(C$3:C246=C246)*(D$3:D246=D246)*F$3:F246)</f>
        <v/>
      </c>
      <c r="L246" s="22">
        <f>IF(J246=0,0,K246/J246)</f>
        <v/>
      </c>
    </row>
    <row r="247">
      <c r="A247" s="37" t="inlineStr">
        <is>
          <t>Juillet</t>
        </is>
      </c>
      <c r="B247" s="37" t="n">
        <v>7</v>
      </c>
      <c r="C247" s="37" t="inlineStr">
        <is>
          <t>RH</t>
        </is>
      </c>
      <c r="D247" s="37" t="inlineStr">
        <is>
          <t>Informatique &amp; Licences</t>
        </is>
      </c>
      <c r="E247" s="38" t="n">
        <v>5000</v>
      </c>
      <c r="F247" s="38" t="n">
        <v>4700</v>
      </c>
      <c r="G247" s="39">
        <f>F247-E247</f>
        <v/>
      </c>
      <c r="H247" s="40">
        <f>IF(E247=0,0,(F247-E247)/E247)</f>
        <v/>
      </c>
      <c r="I247" s="41">
        <f>IF(H247&gt;0.1,"⚠️ Dépassement",IF(H247&lt;-0.1,"✅ Économie","🔵 Normal"))</f>
        <v/>
      </c>
      <c r="J247" s="38">
        <f>SUMPRODUCT((B$3:B247=B247)*(C$3:C247=C247)*(D$3:D247=D247)*E$3:E247)</f>
        <v/>
      </c>
      <c r="K247" s="38">
        <f>SUMPRODUCT((B$3:B247=B247)*(C$3:C247=C247)*(D$3:D247=D247)*F$3:F247)</f>
        <v/>
      </c>
      <c r="L247" s="42">
        <f>IF(J247=0,0,K247/J247)</f>
        <v/>
      </c>
    </row>
    <row r="248">
      <c r="A248" s="23" t="inlineStr">
        <is>
          <t>Juillet</t>
        </is>
      </c>
      <c r="B248" s="23" t="n">
        <v>7</v>
      </c>
      <c r="C248" s="23" t="inlineStr">
        <is>
          <t>RH</t>
        </is>
      </c>
      <c r="D248" s="23" t="inlineStr">
        <is>
          <t>Déplacements &amp; Missions</t>
        </is>
      </c>
      <c r="E248" s="21" t="n">
        <v>7000</v>
      </c>
      <c r="F248" s="21" t="n">
        <v>6625</v>
      </c>
      <c r="G248" s="39">
        <f>F248-E248</f>
        <v/>
      </c>
      <c r="H248" s="40">
        <f>IF(E248=0,0,(F248-E248)/E248)</f>
        <v/>
      </c>
      <c r="I248" s="41">
        <f>IF(H248&gt;0.1,"⚠️ Dépassement",IF(H248&lt;-0.1,"✅ Économie","🔵 Normal"))</f>
        <v/>
      </c>
      <c r="J248" s="21">
        <f>SUMPRODUCT((B$3:B248=B248)*(C$3:C248=C248)*(D$3:D248=D248)*E$3:E248)</f>
        <v/>
      </c>
      <c r="K248" s="21">
        <f>SUMPRODUCT((B$3:B248=B248)*(C$3:C248=C248)*(D$3:D248=D248)*F$3:F248)</f>
        <v/>
      </c>
      <c r="L248" s="22">
        <f>IF(J248=0,0,K248/J248)</f>
        <v/>
      </c>
    </row>
    <row r="249">
      <c r="A249" s="37" t="inlineStr">
        <is>
          <t>Juillet</t>
        </is>
      </c>
      <c r="B249" s="37" t="n">
        <v>7</v>
      </c>
      <c r="C249" s="37" t="inlineStr">
        <is>
          <t>RH</t>
        </is>
      </c>
      <c r="D249" s="37" t="inlineStr">
        <is>
          <t>Formation</t>
        </is>
      </c>
      <c r="E249" s="38" t="n">
        <v>20000</v>
      </c>
      <c r="F249" s="38" t="n">
        <v>6363</v>
      </c>
      <c r="G249" s="39">
        <f>F249-E249</f>
        <v/>
      </c>
      <c r="H249" s="40">
        <f>IF(E249=0,0,(F249-E249)/E249)</f>
        <v/>
      </c>
      <c r="I249" s="41">
        <f>IF(H249&gt;0.1,"⚠️ Dépassement",IF(H249&lt;-0.1,"✅ Économie","🔵 Normal"))</f>
        <v/>
      </c>
      <c r="J249" s="38">
        <f>SUMPRODUCT((B$3:B249=B249)*(C$3:C249=C249)*(D$3:D249=D249)*E$3:E249)</f>
        <v/>
      </c>
      <c r="K249" s="38">
        <f>SUMPRODUCT((B$3:B249=B249)*(C$3:C249=C249)*(D$3:D249=D249)*F$3:F249)</f>
        <v/>
      </c>
      <c r="L249" s="42">
        <f>IF(J249=0,0,K249/J249)</f>
        <v/>
      </c>
    </row>
    <row r="250">
      <c r="A250" s="23" t="inlineStr">
        <is>
          <t>Juillet</t>
        </is>
      </c>
      <c r="B250" s="23" t="n">
        <v>7</v>
      </c>
      <c r="C250" s="23" t="inlineStr">
        <is>
          <t>RH</t>
        </is>
      </c>
      <c r="D250" s="23" t="inlineStr">
        <is>
          <t>Publicité &amp; Communication</t>
        </is>
      </c>
      <c r="E250" s="21" t="n">
        <v>3000</v>
      </c>
      <c r="F250" s="21" t="n">
        <v>3010</v>
      </c>
      <c r="G250" s="39">
        <f>F250-E250</f>
        <v/>
      </c>
      <c r="H250" s="40">
        <f>IF(E250=0,0,(F250-E250)/E250)</f>
        <v/>
      </c>
      <c r="I250" s="41">
        <f>IF(H250&gt;0.1,"⚠️ Dépassement",IF(H250&lt;-0.1,"✅ Économie","🔵 Normal"))</f>
        <v/>
      </c>
      <c r="J250" s="21">
        <f>SUMPRODUCT((B$3:B250=B250)*(C$3:C250=C250)*(D$3:D250=D250)*E$3:E250)</f>
        <v/>
      </c>
      <c r="K250" s="21">
        <f>SUMPRODUCT((B$3:B250=B250)*(C$3:C250=C250)*(D$3:D250=D250)*F$3:F250)</f>
        <v/>
      </c>
      <c r="L250" s="22">
        <f>IF(J250=0,0,K250/J250)</f>
        <v/>
      </c>
    </row>
    <row r="251">
      <c r="A251" s="37" t="inlineStr">
        <is>
          <t>Juillet</t>
        </is>
      </c>
      <c r="B251" s="37" t="n">
        <v>7</v>
      </c>
      <c r="C251" s="37" t="inlineStr">
        <is>
          <t>Marketing</t>
        </is>
      </c>
      <c r="D251" s="37" t="inlineStr">
        <is>
          <t>Salaires</t>
        </is>
      </c>
      <c r="E251" s="38" t="n">
        <v>95000</v>
      </c>
      <c r="F251" s="38" t="n">
        <v>115841</v>
      </c>
      <c r="G251" s="39">
        <f>F251-E251</f>
        <v/>
      </c>
      <c r="H251" s="40">
        <f>IF(E251=0,0,(F251-E251)/E251)</f>
        <v/>
      </c>
      <c r="I251" s="41">
        <f>IF(H251&gt;0.1,"⚠️ Dépassement",IF(H251&lt;-0.1,"✅ Économie","🔵 Normal"))</f>
        <v/>
      </c>
      <c r="J251" s="38">
        <f>SUMPRODUCT((B$3:B251=B251)*(C$3:C251=C251)*(D$3:D251=D251)*E$3:E251)</f>
        <v/>
      </c>
      <c r="K251" s="38">
        <f>SUMPRODUCT((B$3:B251=B251)*(C$3:C251=C251)*(D$3:D251=D251)*F$3:F251)</f>
        <v/>
      </c>
      <c r="L251" s="42">
        <f>IF(J251=0,0,K251/J251)</f>
        <v/>
      </c>
    </row>
    <row r="252">
      <c r="A252" s="23" t="inlineStr">
        <is>
          <t>Juillet</t>
        </is>
      </c>
      <c r="B252" s="23" t="n">
        <v>7</v>
      </c>
      <c r="C252" s="23" t="inlineStr">
        <is>
          <t>Marketing</t>
        </is>
      </c>
      <c r="D252" s="23" t="inlineStr">
        <is>
          <t>Charges sociales</t>
        </is>
      </c>
      <c r="E252" s="21" t="n">
        <v>28500</v>
      </c>
      <c r="F252" s="21" t="n">
        <v>34725</v>
      </c>
      <c r="G252" s="39">
        <f>F252-E252</f>
        <v/>
      </c>
      <c r="H252" s="40">
        <f>IF(E252=0,0,(F252-E252)/E252)</f>
        <v/>
      </c>
      <c r="I252" s="41">
        <f>IF(H252&gt;0.1,"⚠️ Dépassement",IF(H252&lt;-0.1,"✅ Économie","🔵 Normal"))</f>
        <v/>
      </c>
      <c r="J252" s="21">
        <f>SUMPRODUCT((B$3:B252=B252)*(C$3:C252=C252)*(D$3:D252=D252)*E$3:E252)</f>
        <v/>
      </c>
      <c r="K252" s="21">
        <f>SUMPRODUCT((B$3:B252=B252)*(C$3:C252=C252)*(D$3:D252=D252)*F$3:F252)</f>
        <v/>
      </c>
      <c r="L252" s="22">
        <f>IF(J252=0,0,K252/J252)</f>
        <v/>
      </c>
    </row>
    <row r="253">
      <c r="A253" s="37" t="inlineStr">
        <is>
          <t>Juillet</t>
        </is>
      </c>
      <c r="B253" s="37" t="n">
        <v>7</v>
      </c>
      <c r="C253" s="37" t="inlineStr">
        <is>
          <t>Marketing</t>
        </is>
      </c>
      <c r="D253" s="37" t="inlineStr">
        <is>
          <t>Loyer &amp; Charges</t>
        </is>
      </c>
      <c r="E253" s="38" t="n">
        <v>12000</v>
      </c>
      <c r="F253" s="38" t="n">
        <v>10192</v>
      </c>
      <c r="G253" s="39">
        <f>F253-E253</f>
        <v/>
      </c>
      <c r="H253" s="40">
        <f>IF(E253=0,0,(F253-E253)/E253)</f>
        <v/>
      </c>
      <c r="I253" s="41">
        <f>IF(H253&gt;0.1,"⚠️ Dépassement",IF(H253&lt;-0.1,"✅ Économie","🔵 Normal"))</f>
        <v/>
      </c>
      <c r="J253" s="38">
        <f>SUMPRODUCT((B$3:B253=B253)*(C$3:C253=C253)*(D$3:D253=D253)*E$3:E253)</f>
        <v/>
      </c>
      <c r="K253" s="38">
        <f>SUMPRODUCT((B$3:B253=B253)*(C$3:C253=C253)*(D$3:D253=D253)*F$3:F253)</f>
        <v/>
      </c>
      <c r="L253" s="42">
        <f>IF(J253=0,0,K253/J253)</f>
        <v/>
      </c>
    </row>
    <row r="254">
      <c r="A254" s="23" t="inlineStr">
        <is>
          <t>Juillet</t>
        </is>
      </c>
      <c r="B254" s="23" t="n">
        <v>7</v>
      </c>
      <c r="C254" s="23" t="inlineStr">
        <is>
          <t>Marketing</t>
        </is>
      </c>
      <c r="D254" s="23" t="inlineStr">
        <is>
          <t>Matières &amp; Fournitures</t>
        </is>
      </c>
      <c r="E254" s="21" t="n">
        <v>6000</v>
      </c>
      <c r="F254" s="21" t="n">
        <v>5432</v>
      </c>
      <c r="G254" s="39">
        <f>F254-E254</f>
        <v/>
      </c>
      <c r="H254" s="40">
        <f>IF(E254=0,0,(F254-E254)/E254)</f>
        <v/>
      </c>
      <c r="I254" s="41">
        <f>IF(H254&gt;0.1,"⚠️ Dépassement",IF(H254&lt;-0.1,"✅ Économie","🔵 Normal"))</f>
        <v/>
      </c>
      <c r="J254" s="21">
        <f>SUMPRODUCT((B$3:B254=B254)*(C$3:C254=C254)*(D$3:D254=D254)*E$3:E254)</f>
        <v/>
      </c>
      <c r="K254" s="21">
        <f>SUMPRODUCT((B$3:B254=B254)*(C$3:C254=C254)*(D$3:D254=D254)*F$3:F254)</f>
        <v/>
      </c>
      <c r="L254" s="22">
        <f>IF(J254=0,0,K254/J254)</f>
        <v/>
      </c>
    </row>
    <row r="255">
      <c r="A255" s="37" t="inlineStr">
        <is>
          <t>Juillet</t>
        </is>
      </c>
      <c r="B255" s="37" t="n">
        <v>7</v>
      </c>
      <c r="C255" s="37" t="inlineStr">
        <is>
          <t>Marketing</t>
        </is>
      </c>
      <c r="D255" s="37" t="inlineStr">
        <is>
          <t>Informatique &amp; Licences</t>
        </is>
      </c>
      <c r="E255" s="38" t="n">
        <v>8000</v>
      </c>
      <c r="F255" s="38" t="n">
        <v>7409</v>
      </c>
      <c r="G255" s="39">
        <f>F255-E255</f>
        <v/>
      </c>
      <c r="H255" s="40">
        <f>IF(E255=0,0,(F255-E255)/E255)</f>
        <v/>
      </c>
      <c r="I255" s="41">
        <f>IF(H255&gt;0.1,"⚠️ Dépassement",IF(H255&lt;-0.1,"✅ Économie","🔵 Normal"))</f>
        <v/>
      </c>
      <c r="J255" s="38">
        <f>SUMPRODUCT((B$3:B255=B255)*(C$3:C255=C255)*(D$3:D255=D255)*E$3:E255)</f>
        <v/>
      </c>
      <c r="K255" s="38">
        <f>SUMPRODUCT((B$3:B255=B255)*(C$3:C255=C255)*(D$3:D255=D255)*F$3:F255)</f>
        <v/>
      </c>
      <c r="L255" s="42">
        <f>IF(J255=0,0,K255/J255)</f>
        <v/>
      </c>
    </row>
    <row r="256">
      <c r="A256" s="23" t="inlineStr">
        <is>
          <t>Juillet</t>
        </is>
      </c>
      <c r="B256" s="23" t="n">
        <v>7</v>
      </c>
      <c r="C256" s="23" t="inlineStr">
        <is>
          <t>Marketing</t>
        </is>
      </c>
      <c r="D256" s="23" t="inlineStr">
        <is>
          <t>Déplacements &amp; Missions</t>
        </is>
      </c>
      <c r="E256" s="21" t="n">
        <v>15000</v>
      </c>
      <c r="F256" s="21" t="n">
        <v>17900</v>
      </c>
      <c r="G256" s="39">
        <f>F256-E256</f>
        <v/>
      </c>
      <c r="H256" s="40">
        <f>IF(E256=0,0,(F256-E256)/E256)</f>
        <v/>
      </c>
      <c r="I256" s="41">
        <f>IF(H256&gt;0.1,"⚠️ Dépassement",IF(H256&lt;-0.1,"✅ Économie","🔵 Normal"))</f>
        <v/>
      </c>
      <c r="J256" s="21">
        <f>SUMPRODUCT((B$3:B256=B256)*(C$3:C256=C256)*(D$3:D256=D256)*E$3:E256)</f>
        <v/>
      </c>
      <c r="K256" s="21">
        <f>SUMPRODUCT((B$3:B256=B256)*(C$3:C256=C256)*(D$3:D256=D256)*F$3:F256)</f>
        <v/>
      </c>
      <c r="L256" s="22">
        <f>IF(J256=0,0,K256/J256)</f>
        <v/>
      </c>
    </row>
    <row r="257">
      <c r="A257" s="37" t="inlineStr">
        <is>
          <t>Juillet</t>
        </is>
      </c>
      <c r="B257" s="37" t="n">
        <v>7</v>
      </c>
      <c r="C257" s="37" t="inlineStr">
        <is>
          <t>Marketing</t>
        </is>
      </c>
      <c r="D257" s="37" t="inlineStr">
        <is>
          <t>Formation</t>
        </is>
      </c>
      <c r="E257" s="38" t="n">
        <v>8000</v>
      </c>
      <c r="F257" s="38" t="n">
        <v>4159</v>
      </c>
      <c r="G257" s="39">
        <f>F257-E257</f>
        <v/>
      </c>
      <c r="H257" s="40">
        <f>IF(E257=0,0,(F257-E257)/E257)</f>
        <v/>
      </c>
      <c r="I257" s="41">
        <f>IF(H257&gt;0.1,"⚠️ Dépassement",IF(H257&lt;-0.1,"✅ Économie","🔵 Normal"))</f>
        <v/>
      </c>
      <c r="J257" s="38">
        <f>SUMPRODUCT((B$3:B257=B257)*(C$3:C257=C257)*(D$3:D257=D257)*E$3:E257)</f>
        <v/>
      </c>
      <c r="K257" s="38">
        <f>SUMPRODUCT((B$3:B257=B257)*(C$3:C257=C257)*(D$3:D257=D257)*F$3:F257)</f>
        <v/>
      </c>
      <c r="L257" s="42">
        <f>IF(J257=0,0,K257/J257)</f>
        <v/>
      </c>
    </row>
    <row r="258">
      <c r="A258" s="23" t="inlineStr">
        <is>
          <t>Juillet</t>
        </is>
      </c>
      <c r="B258" s="23" t="n">
        <v>7</v>
      </c>
      <c r="C258" s="23" t="inlineStr">
        <is>
          <t>Marketing</t>
        </is>
      </c>
      <c r="D258" s="23" t="inlineStr">
        <is>
          <t>Publicité &amp; Communication</t>
        </is>
      </c>
      <c r="E258" s="21" t="n">
        <v>45000</v>
      </c>
      <c r="F258" s="21" t="n">
        <v>43551</v>
      </c>
      <c r="G258" s="39">
        <f>F258-E258</f>
        <v/>
      </c>
      <c r="H258" s="40">
        <f>IF(E258=0,0,(F258-E258)/E258)</f>
        <v/>
      </c>
      <c r="I258" s="41">
        <f>IF(H258&gt;0.1,"⚠️ Dépassement",IF(H258&lt;-0.1,"✅ Économie","🔵 Normal"))</f>
        <v/>
      </c>
      <c r="J258" s="21">
        <f>SUMPRODUCT((B$3:B258=B258)*(C$3:C258=C258)*(D$3:D258=D258)*E$3:E258)</f>
        <v/>
      </c>
      <c r="K258" s="21">
        <f>SUMPRODUCT((B$3:B258=B258)*(C$3:C258=C258)*(D$3:D258=D258)*F$3:F258)</f>
        <v/>
      </c>
      <c r="L258" s="22">
        <f>IF(J258=0,0,K258/J258)</f>
        <v/>
      </c>
    </row>
    <row r="259">
      <c r="A259" s="37" t="inlineStr">
        <is>
          <t>Juillet</t>
        </is>
      </c>
      <c r="B259" s="37" t="n">
        <v>7</v>
      </c>
      <c r="C259" s="37" t="inlineStr">
        <is>
          <t>Production</t>
        </is>
      </c>
      <c r="D259" s="37" t="inlineStr">
        <is>
          <t>Salaires</t>
        </is>
      </c>
      <c r="E259" s="38" t="n">
        <v>220000</v>
      </c>
      <c r="F259" s="38" t="n">
        <v>194282</v>
      </c>
      <c r="G259" s="39">
        <f>F259-E259</f>
        <v/>
      </c>
      <c r="H259" s="40">
        <f>IF(E259=0,0,(F259-E259)/E259)</f>
        <v/>
      </c>
      <c r="I259" s="41">
        <f>IF(H259&gt;0.1,"⚠️ Dépassement",IF(H259&lt;-0.1,"✅ Économie","🔵 Normal"))</f>
        <v/>
      </c>
      <c r="J259" s="38">
        <f>SUMPRODUCT((B$3:B259=B259)*(C$3:C259=C259)*(D$3:D259=D259)*E$3:E259)</f>
        <v/>
      </c>
      <c r="K259" s="38">
        <f>SUMPRODUCT((B$3:B259=B259)*(C$3:C259=C259)*(D$3:D259=D259)*F$3:F259)</f>
        <v/>
      </c>
      <c r="L259" s="42">
        <f>IF(J259=0,0,K259/J259)</f>
        <v/>
      </c>
    </row>
    <row r="260">
      <c r="A260" s="23" t="inlineStr">
        <is>
          <t>Juillet</t>
        </is>
      </c>
      <c r="B260" s="23" t="n">
        <v>7</v>
      </c>
      <c r="C260" s="23" t="inlineStr">
        <is>
          <t>Production</t>
        </is>
      </c>
      <c r="D260" s="23" t="inlineStr">
        <is>
          <t>Charges sociales</t>
        </is>
      </c>
      <c r="E260" s="21" t="n">
        <v>66000</v>
      </c>
      <c r="F260" s="21" t="n">
        <v>76131</v>
      </c>
      <c r="G260" s="39">
        <f>F260-E260</f>
        <v/>
      </c>
      <c r="H260" s="40">
        <f>IF(E260=0,0,(F260-E260)/E260)</f>
        <v/>
      </c>
      <c r="I260" s="41">
        <f>IF(H260&gt;0.1,"⚠️ Dépassement",IF(H260&lt;-0.1,"✅ Économie","🔵 Normal"))</f>
        <v/>
      </c>
      <c r="J260" s="21">
        <f>SUMPRODUCT((B$3:B260=B260)*(C$3:C260=C260)*(D$3:D260=D260)*E$3:E260)</f>
        <v/>
      </c>
      <c r="K260" s="21">
        <f>SUMPRODUCT((B$3:B260=B260)*(C$3:C260=C260)*(D$3:D260=D260)*F$3:F260)</f>
        <v/>
      </c>
      <c r="L260" s="22">
        <f>IF(J260=0,0,K260/J260)</f>
        <v/>
      </c>
    </row>
    <row r="261">
      <c r="A261" s="37" t="inlineStr">
        <is>
          <t>Juillet</t>
        </is>
      </c>
      <c r="B261" s="37" t="n">
        <v>7</v>
      </c>
      <c r="C261" s="37" t="inlineStr">
        <is>
          <t>Production</t>
        </is>
      </c>
      <c r="D261" s="37" t="inlineStr">
        <is>
          <t>Loyer &amp; Charges</t>
        </is>
      </c>
      <c r="E261" s="38" t="n">
        <v>35000</v>
      </c>
      <c r="F261" s="38" t="n">
        <v>38550</v>
      </c>
      <c r="G261" s="39">
        <f>F261-E261</f>
        <v/>
      </c>
      <c r="H261" s="40">
        <f>IF(E261=0,0,(F261-E261)/E261)</f>
        <v/>
      </c>
      <c r="I261" s="41">
        <f>IF(H261&gt;0.1,"⚠️ Dépassement",IF(H261&lt;-0.1,"✅ Économie","🔵 Normal"))</f>
        <v/>
      </c>
      <c r="J261" s="38">
        <f>SUMPRODUCT((B$3:B261=B261)*(C$3:C261=C261)*(D$3:D261=D261)*E$3:E261)</f>
        <v/>
      </c>
      <c r="K261" s="38">
        <f>SUMPRODUCT((B$3:B261=B261)*(C$3:C261=C261)*(D$3:D261=D261)*F$3:F261)</f>
        <v/>
      </c>
      <c r="L261" s="42">
        <f>IF(J261=0,0,K261/J261)</f>
        <v/>
      </c>
    </row>
    <row r="262">
      <c r="A262" s="23" t="inlineStr">
        <is>
          <t>Juillet</t>
        </is>
      </c>
      <c r="B262" s="23" t="n">
        <v>7</v>
      </c>
      <c r="C262" s="23" t="inlineStr">
        <is>
          <t>Production</t>
        </is>
      </c>
      <c r="D262" s="23" t="inlineStr">
        <is>
          <t>Matières &amp; Fournitures</t>
        </is>
      </c>
      <c r="E262" s="21" t="n">
        <v>85000</v>
      </c>
      <c r="F262" s="21" t="n">
        <v>90497</v>
      </c>
      <c r="G262" s="39">
        <f>F262-E262</f>
        <v/>
      </c>
      <c r="H262" s="40">
        <f>IF(E262=0,0,(F262-E262)/E262)</f>
        <v/>
      </c>
      <c r="I262" s="41">
        <f>IF(H262&gt;0.1,"⚠️ Dépassement",IF(H262&lt;-0.1,"✅ Économie","🔵 Normal"))</f>
        <v/>
      </c>
      <c r="J262" s="21">
        <f>SUMPRODUCT((B$3:B262=B262)*(C$3:C262=C262)*(D$3:D262=D262)*E$3:E262)</f>
        <v/>
      </c>
      <c r="K262" s="21">
        <f>SUMPRODUCT((B$3:B262=B262)*(C$3:C262=C262)*(D$3:D262=D262)*F$3:F262)</f>
        <v/>
      </c>
      <c r="L262" s="22">
        <f>IF(J262=0,0,K262/J262)</f>
        <v/>
      </c>
    </row>
    <row r="263">
      <c r="A263" s="37" t="inlineStr">
        <is>
          <t>Juillet</t>
        </is>
      </c>
      <c r="B263" s="37" t="n">
        <v>7</v>
      </c>
      <c r="C263" s="37" t="inlineStr">
        <is>
          <t>Production</t>
        </is>
      </c>
      <c r="D263" s="37" t="inlineStr">
        <is>
          <t>Informatique &amp; Licences</t>
        </is>
      </c>
      <c r="E263" s="38" t="n">
        <v>12000</v>
      </c>
      <c r="F263" s="38" t="n">
        <v>14579</v>
      </c>
      <c r="G263" s="39">
        <f>F263-E263</f>
        <v/>
      </c>
      <c r="H263" s="40">
        <f>IF(E263=0,0,(F263-E263)/E263)</f>
        <v/>
      </c>
      <c r="I263" s="41">
        <f>IF(H263&gt;0.1,"⚠️ Dépassement",IF(H263&lt;-0.1,"✅ Économie","🔵 Normal"))</f>
        <v/>
      </c>
      <c r="J263" s="38">
        <f>SUMPRODUCT((B$3:B263=B263)*(C$3:C263=C263)*(D$3:D263=D263)*E$3:E263)</f>
        <v/>
      </c>
      <c r="K263" s="38">
        <f>SUMPRODUCT((B$3:B263=B263)*(C$3:C263=C263)*(D$3:D263=D263)*F$3:F263)</f>
        <v/>
      </c>
      <c r="L263" s="42">
        <f>IF(J263=0,0,K263/J263)</f>
        <v/>
      </c>
    </row>
    <row r="264">
      <c r="A264" s="23" t="inlineStr">
        <is>
          <t>Juillet</t>
        </is>
      </c>
      <c r="B264" s="23" t="n">
        <v>7</v>
      </c>
      <c r="C264" s="23" t="inlineStr">
        <is>
          <t>Production</t>
        </is>
      </c>
      <c r="D264" s="23" t="inlineStr">
        <is>
          <t>Déplacements &amp; Missions</t>
        </is>
      </c>
      <c r="E264" s="21" t="n">
        <v>10000</v>
      </c>
      <c r="F264" s="21" t="n">
        <v>10816</v>
      </c>
      <c r="G264" s="39">
        <f>F264-E264</f>
        <v/>
      </c>
      <c r="H264" s="40">
        <f>IF(E264=0,0,(F264-E264)/E264)</f>
        <v/>
      </c>
      <c r="I264" s="41">
        <f>IF(H264&gt;0.1,"⚠️ Dépassement",IF(H264&lt;-0.1,"✅ Économie","🔵 Normal"))</f>
        <v/>
      </c>
      <c r="J264" s="21">
        <f>SUMPRODUCT((B$3:B264=B264)*(C$3:C264=C264)*(D$3:D264=D264)*E$3:E264)</f>
        <v/>
      </c>
      <c r="K264" s="21">
        <f>SUMPRODUCT((B$3:B264=B264)*(C$3:C264=C264)*(D$3:D264=D264)*F$3:F264)</f>
        <v/>
      </c>
      <c r="L264" s="22">
        <f>IF(J264=0,0,K264/J264)</f>
        <v/>
      </c>
    </row>
    <row r="265">
      <c r="A265" s="37" t="inlineStr">
        <is>
          <t>Juillet</t>
        </is>
      </c>
      <c r="B265" s="37" t="n">
        <v>7</v>
      </c>
      <c r="C265" s="37" t="inlineStr">
        <is>
          <t>Production</t>
        </is>
      </c>
      <c r="D265" s="37" t="inlineStr">
        <is>
          <t>Formation</t>
        </is>
      </c>
      <c r="E265" s="38" t="n">
        <v>15000</v>
      </c>
      <c r="F265" s="38" t="n">
        <v>7564</v>
      </c>
      <c r="G265" s="39">
        <f>F265-E265</f>
        <v/>
      </c>
      <c r="H265" s="40">
        <f>IF(E265=0,0,(F265-E265)/E265)</f>
        <v/>
      </c>
      <c r="I265" s="41">
        <f>IF(H265&gt;0.1,"⚠️ Dépassement",IF(H265&lt;-0.1,"✅ Économie","🔵 Normal"))</f>
        <v/>
      </c>
      <c r="J265" s="38">
        <f>SUMPRODUCT((B$3:B265=B265)*(C$3:C265=C265)*(D$3:D265=D265)*E$3:E265)</f>
        <v/>
      </c>
      <c r="K265" s="38">
        <f>SUMPRODUCT((B$3:B265=B265)*(C$3:C265=C265)*(D$3:D265=D265)*F$3:F265)</f>
        <v/>
      </c>
      <c r="L265" s="42">
        <f>IF(J265=0,0,K265/J265)</f>
        <v/>
      </c>
    </row>
    <row r="266">
      <c r="A266" s="23" t="inlineStr">
        <is>
          <t>Juillet</t>
        </is>
      </c>
      <c r="B266" s="23" t="n">
        <v>7</v>
      </c>
      <c r="C266" s="23" t="inlineStr">
        <is>
          <t>Production</t>
        </is>
      </c>
      <c r="D266" s="23" t="inlineStr">
        <is>
          <t>Publicité &amp; Communication</t>
        </is>
      </c>
      <c r="E266" s="21" t="n">
        <v>5000</v>
      </c>
      <c r="F266" s="21" t="n">
        <v>4699</v>
      </c>
      <c r="G266" s="39">
        <f>F266-E266</f>
        <v/>
      </c>
      <c r="H266" s="40">
        <f>IF(E266=0,0,(F266-E266)/E266)</f>
        <v/>
      </c>
      <c r="I266" s="41">
        <f>IF(H266&gt;0.1,"⚠️ Dépassement",IF(H266&lt;-0.1,"✅ Économie","🔵 Normal"))</f>
        <v/>
      </c>
      <c r="J266" s="21">
        <f>SUMPRODUCT((B$3:B266=B266)*(C$3:C266=C266)*(D$3:D266=D266)*E$3:E266)</f>
        <v/>
      </c>
      <c r="K266" s="21">
        <f>SUMPRODUCT((B$3:B266=B266)*(C$3:C266=C266)*(D$3:D266=D266)*F$3:F266)</f>
        <v/>
      </c>
      <c r="L266" s="22">
        <f>IF(J266=0,0,K266/J266)</f>
        <v/>
      </c>
    </row>
    <row r="267">
      <c r="A267" s="37" t="inlineStr">
        <is>
          <t>Juillet</t>
        </is>
      </c>
      <c r="B267" s="37" t="n">
        <v>7</v>
      </c>
      <c r="C267" s="37" t="inlineStr">
        <is>
          <t>IT</t>
        </is>
      </c>
      <c r="D267" s="37" t="inlineStr">
        <is>
          <t>Salaires</t>
        </is>
      </c>
      <c r="E267" s="38" t="n">
        <v>130000</v>
      </c>
      <c r="F267" s="38" t="n">
        <v>141096</v>
      </c>
      <c r="G267" s="39">
        <f>F267-E267</f>
        <v/>
      </c>
      <c r="H267" s="40">
        <f>IF(E267=0,0,(F267-E267)/E267)</f>
        <v/>
      </c>
      <c r="I267" s="41">
        <f>IF(H267&gt;0.1,"⚠️ Dépassement",IF(H267&lt;-0.1,"✅ Économie","🔵 Normal"))</f>
        <v/>
      </c>
      <c r="J267" s="38">
        <f>SUMPRODUCT((B$3:B267=B267)*(C$3:C267=C267)*(D$3:D267=D267)*E$3:E267)</f>
        <v/>
      </c>
      <c r="K267" s="38">
        <f>SUMPRODUCT((B$3:B267=B267)*(C$3:C267=C267)*(D$3:D267=D267)*F$3:F267)</f>
        <v/>
      </c>
      <c r="L267" s="42">
        <f>IF(J267=0,0,K267/J267)</f>
        <v/>
      </c>
    </row>
    <row r="268">
      <c r="A268" s="23" t="inlineStr">
        <is>
          <t>Juillet</t>
        </is>
      </c>
      <c r="B268" s="23" t="n">
        <v>7</v>
      </c>
      <c r="C268" s="23" t="inlineStr">
        <is>
          <t>IT</t>
        </is>
      </c>
      <c r="D268" s="23" t="inlineStr">
        <is>
          <t>Charges sociales</t>
        </is>
      </c>
      <c r="E268" s="21" t="n">
        <v>39000</v>
      </c>
      <c r="F268" s="21" t="n">
        <v>46627</v>
      </c>
      <c r="G268" s="39">
        <f>F268-E268</f>
        <v/>
      </c>
      <c r="H268" s="40">
        <f>IF(E268=0,0,(F268-E268)/E268)</f>
        <v/>
      </c>
      <c r="I268" s="41">
        <f>IF(H268&gt;0.1,"⚠️ Dépassement",IF(H268&lt;-0.1,"✅ Économie","🔵 Normal"))</f>
        <v/>
      </c>
      <c r="J268" s="21">
        <f>SUMPRODUCT((B$3:B268=B268)*(C$3:C268=C268)*(D$3:D268=D268)*E$3:E268)</f>
        <v/>
      </c>
      <c r="K268" s="21">
        <f>SUMPRODUCT((B$3:B268=B268)*(C$3:C268=C268)*(D$3:D268=D268)*F$3:F268)</f>
        <v/>
      </c>
      <c r="L268" s="22">
        <f>IF(J268=0,0,K268/J268)</f>
        <v/>
      </c>
    </row>
    <row r="269">
      <c r="A269" s="37" t="inlineStr">
        <is>
          <t>Juillet</t>
        </is>
      </c>
      <c r="B269" s="37" t="n">
        <v>7</v>
      </c>
      <c r="C269" s="37" t="inlineStr">
        <is>
          <t>IT</t>
        </is>
      </c>
      <c r="D269" s="37" t="inlineStr">
        <is>
          <t>Loyer &amp; Charges</t>
        </is>
      </c>
      <c r="E269" s="38" t="n">
        <v>10000</v>
      </c>
      <c r="F269" s="38" t="n">
        <v>8737</v>
      </c>
      <c r="G269" s="39">
        <f>F269-E269</f>
        <v/>
      </c>
      <c r="H269" s="40">
        <f>IF(E269=0,0,(F269-E269)/E269)</f>
        <v/>
      </c>
      <c r="I269" s="41">
        <f>IF(H269&gt;0.1,"⚠️ Dépassement",IF(H269&lt;-0.1,"✅ Économie","🔵 Normal"))</f>
        <v/>
      </c>
      <c r="J269" s="38">
        <f>SUMPRODUCT((B$3:B269=B269)*(C$3:C269=C269)*(D$3:D269=D269)*E$3:E269)</f>
        <v/>
      </c>
      <c r="K269" s="38">
        <f>SUMPRODUCT((B$3:B269=B269)*(C$3:C269=C269)*(D$3:D269=D269)*F$3:F269)</f>
        <v/>
      </c>
      <c r="L269" s="42">
        <f>IF(J269=0,0,K269/J269)</f>
        <v/>
      </c>
    </row>
    <row r="270">
      <c r="A270" s="23" t="inlineStr">
        <is>
          <t>Juillet</t>
        </is>
      </c>
      <c r="B270" s="23" t="n">
        <v>7</v>
      </c>
      <c r="C270" s="23" t="inlineStr">
        <is>
          <t>IT</t>
        </is>
      </c>
      <c r="D270" s="23" t="inlineStr">
        <is>
          <t>Matières &amp; Fournitures</t>
        </is>
      </c>
      <c r="E270" s="21" t="n">
        <v>20000</v>
      </c>
      <c r="F270" s="21" t="n">
        <v>17323</v>
      </c>
      <c r="G270" s="39">
        <f>F270-E270</f>
        <v/>
      </c>
      <c r="H270" s="40">
        <f>IF(E270=0,0,(F270-E270)/E270)</f>
        <v/>
      </c>
      <c r="I270" s="41">
        <f>IF(H270&gt;0.1,"⚠️ Dépassement",IF(H270&lt;-0.1,"✅ Économie","🔵 Normal"))</f>
        <v/>
      </c>
      <c r="J270" s="21">
        <f>SUMPRODUCT((B$3:B270=B270)*(C$3:C270=C270)*(D$3:D270=D270)*E$3:E270)</f>
        <v/>
      </c>
      <c r="K270" s="21">
        <f>SUMPRODUCT((B$3:B270=B270)*(C$3:C270=C270)*(D$3:D270=D270)*F$3:F270)</f>
        <v/>
      </c>
      <c r="L270" s="22">
        <f>IF(J270=0,0,K270/J270)</f>
        <v/>
      </c>
    </row>
    <row r="271">
      <c r="A271" s="37" t="inlineStr">
        <is>
          <t>Juillet</t>
        </is>
      </c>
      <c r="B271" s="37" t="n">
        <v>7</v>
      </c>
      <c r="C271" s="37" t="inlineStr">
        <is>
          <t>IT</t>
        </is>
      </c>
      <c r="D271" s="37" t="inlineStr">
        <is>
          <t>Informatique &amp; Licences</t>
        </is>
      </c>
      <c r="E271" s="38" t="n">
        <v>50000</v>
      </c>
      <c r="F271" s="38" t="n">
        <v>43141</v>
      </c>
      <c r="G271" s="39">
        <f>F271-E271</f>
        <v/>
      </c>
      <c r="H271" s="40">
        <f>IF(E271=0,0,(F271-E271)/E271)</f>
        <v/>
      </c>
      <c r="I271" s="41">
        <f>IF(H271&gt;0.1,"⚠️ Dépassement",IF(H271&lt;-0.1,"✅ Économie","🔵 Normal"))</f>
        <v/>
      </c>
      <c r="J271" s="38">
        <f>SUMPRODUCT((B$3:B271=B271)*(C$3:C271=C271)*(D$3:D271=D271)*E$3:E271)</f>
        <v/>
      </c>
      <c r="K271" s="38">
        <f>SUMPRODUCT((B$3:B271=B271)*(C$3:C271=C271)*(D$3:D271=D271)*F$3:F271)</f>
        <v/>
      </c>
      <c r="L271" s="42">
        <f>IF(J271=0,0,K271/J271)</f>
        <v/>
      </c>
    </row>
    <row r="272">
      <c r="A272" s="23" t="inlineStr">
        <is>
          <t>Juillet</t>
        </is>
      </c>
      <c r="B272" s="23" t="n">
        <v>7</v>
      </c>
      <c r="C272" s="23" t="inlineStr">
        <is>
          <t>IT</t>
        </is>
      </c>
      <c r="D272" s="23" t="inlineStr">
        <is>
          <t>Déplacements &amp; Missions</t>
        </is>
      </c>
      <c r="E272" s="21" t="n">
        <v>8000</v>
      </c>
      <c r="F272" s="21" t="n">
        <v>8330</v>
      </c>
      <c r="G272" s="39">
        <f>F272-E272</f>
        <v/>
      </c>
      <c r="H272" s="40">
        <f>IF(E272=0,0,(F272-E272)/E272)</f>
        <v/>
      </c>
      <c r="I272" s="41">
        <f>IF(H272&gt;0.1,"⚠️ Dépassement",IF(H272&lt;-0.1,"✅ Économie","🔵 Normal"))</f>
        <v/>
      </c>
      <c r="J272" s="21">
        <f>SUMPRODUCT((B$3:B272=B272)*(C$3:C272=C272)*(D$3:D272=D272)*E$3:E272)</f>
        <v/>
      </c>
      <c r="K272" s="21">
        <f>SUMPRODUCT((B$3:B272=B272)*(C$3:C272=C272)*(D$3:D272=D272)*F$3:F272)</f>
        <v/>
      </c>
      <c r="L272" s="22">
        <f>IF(J272=0,0,K272/J272)</f>
        <v/>
      </c>
    </row>
    <row r="273">
      <c r="A273" s="37" t="inlineStr">
        <is>
          <t>Juillet</t>
        </is>
      </c>
      <c r="B273" s="37" t="n">
        <v>7</v>
      </c>
      <c r="C273" s="37" t="inlineStr">
        <is>
          <t>IT</t>
        </is>
      </c>
      <c r="D273" s="37" t="inlineStr">
        <is>
          <t>Formation</t>
        </is>
      </c>
      <c r="E273" s="38" t="n">
        <v>18000</v>
      </c>
      <c r="F273" s="38" t="n">
        <v>8122</v>
      </c>
      <c r="G273" s="39">
        <f>F273-E273</f>
        <v/>
      </c>
      <c r="H273" s="40">
        <f>IF(E273=0,0,(F273-E273)/E273)</f>
        <v/>
      </c>
      <c r="I273" s="41">
        <f>IF(H273&gt;0.1,"⚠️ Dépassement",IF(H273&lt;-0.1,"✅ Économie","🔵 Normal"))</f>
        <v/>
      </c>
      <c r="J273" s="38">
        <f>SUMPRODUCT((B$3:B273=B273)*(C$3:C273=C273)*(D$3:D273=D273)*E$3:E273)</f>
        <v/>
      </c>
      <c r="K273" s="38">
        <f>SUMPRODUCT((B$3:B273=B273)*(C$3:C273=C273)*(D$3:D273=D273)*F$3:F273)</f>
        <v/>
      </c>
      <c r="L273" s="42">
        <f>IF(J273=0,0,K273/J273)</f>
        <v/>
      </c>
    </row>
    <row r="274">
      <c r="A274" s="23" t="inlineStr">
        <is>
          <t>Juillet</t>
        </is>
      </c>
      <c r="B274" s="23" t="n">
        <v>7</v>
      </c>
      <c r="C274" s="23" t="inlineStr">
        <is>
          <t>IT</t>
        </is>
      </c>
      <c r="D274" s="23" t="inlineStr">
        <is>
          <t>Publicité &amp; Communication</t>
        </is>
      </c>
      <c r="E274" s="21" t="n">
        <v>4000</v>
      </c>
      <c r="F274" s="21" t="n">
        <v>4428</v>
      </c>
      <c r="G274" s="39">
        <f>F274-E274</f>
        <v/>
      </c>
      <c r="H274" s="40">
        <f>IF(E274=0,0,(F274-E274)/E274)</f>
        <v/>
      </c>
      <c r="I274" s="41">
        <f>IF(H274&gt;0.1,"⚠️ Dépassement",IF(H274&lt;-0.1,"✅ Économie","🔵 Normal"))</f>
        <v/>
      </c>
      <c r="J274" s="21">
        <f>SUMPRODUCT((B$3:B274=B274)*(C$3:C274=C274)*(D$3:D274=D274)*E$3:E274)</f>
        <v/>
      </c>
      <c r="K274" s="21">
        <f>SUMPRODUCT((B$3:B274=B274)*(C$3:C274=C274)*(D$3:D274=D274)*F$3:F274)</f>
        <v/>
      </c>
      <c r="L274" s="22">
        <f>IF(J274=0,0,K274/J274)</f>
        <v/>
      </c>
    </row>
    <row r="275">
      <c r="A275" s="37" t="inlineStr">
        <is>
          <t>Juillet</t>
        </is>
      </c>
      <c r="B275" s="37" t="n">
        <v>7</v>
      </c>
      <c r="C275" s="37" t="inlineStr">
        <is>
          <t>Administration</t>
        </is>
      </c>
      <c r="D275" s="37" t="inlineStr">
        <is>
          <t>Salaires</t>
        </is>
      </c>
      <c r="E275" s="38" t="n">
        <v>75000</v>
      </c>
      <c r="F275" s="38" t="n">
        <v>67608</v>
      </c>
      <c r="G275" s="39">
        <f>F275-E275</f>
        <v/>
      </c>
      <c r="H275" s="40">
        <f>IF(E275=0,0,(F275-E275)/E275)</f>
        <v/>
      </c>
      <c r="I275" s="41">
        <f>IF(H275&gt;0.1,"⚠️ Dépassement",IF(H275&lt;-0.1,"✅ Économie","🔵 Normal"))</f>
        <v/>
      </c>
      <c r="J275" s="38">
        <f>SUMPRODUCT((B$3:B275=B275)*(C$3:C275=C275)*(D$3:D275=D275)*E$3:E275)</f>
        <v/>
      </c>
      <c r="K275" s="38">
        <f>SUMPRODUCT((B$3:B275=B275)*(C$3:C275=C275)*(D$3:D275=D275)*F$3:F275)</f>
        <v/>
      </c>
      <c r="L275" s="42">
        <f>IF(J275=0,0,K275/J275)</f>
        <v/>
      </c>
    </row>
    <row r="276">
      <c r="A276" s="23" t="inlineStr">
        <is>
          <t>Juillet</t>
        </is>
      </c>
      <c r="B276" s="23" t="n">
        <v>7</v>
      </c>
      <c r="C276" s="23" t="inlineStr">
        <is>
          <t>Administration</t>
        </is>
      </c>
      <c r="D276" s="23" t="inlineStr">
        <is>
          <t>Charges sociales</t>
        </is>
      </c>
      <c r="E276" s="21" t="n">
        <v>22500</v>
      </c>
      <c r="F276" s="21" t="n">
        <v>24158</v>
      </c>
      <c r="G276" s="39">
        <f>F276-E276</f>
        <v/>
      </c>
      <c r="H276" s="40">
        <f>IF(E276=0,0,(F276-E276)/E276)</f>
        <v/>
      </c>
      <c r="I276" s="41">
        <f>IF(H276&gt;0.1,"⚠️ Dépassement",IF(H276&lt;-0.1,"✅ Économie","🔵 Normal"))</f>
        <v/>
      </c>
      <c r="J276" s="21">
        <f>SUMPRODUCT((B$3:B276=B276)*(C$3:C276=C276)*(D$3:D276=D276)*E$3:E276)</f>
        <v/>
      </c>
      <c r="K276" s="21">
        <f>SUMPRODUCT((B$3:B276=B276)*(C$3:C276=C276)*(D$3:D276=D276)*F$3:F276)</f>
        <v/>
      </c>
      <c r="L276" s="22">
        <f>IF(J276=0,0,K276/J276)</f>
        <v/>
      </c>
    </row>
    <row r="277">
      <c r="A277" s="37" t="inlineStr">
        <is>
          <t>Juillet</t>
        </is>
      </c>
      <c r="B277" s="37" t="n">
        <v>7</v>
      </c>
      <c r="C277" s="37" t="inlineStr">
        <is>
          <t>Administration</t>
        </is>
      </c>
      <c r="D277" s="37" t="inlineStr">
        <is>
          <t>Loyer &amp; Charges</t>
        </is>
      </c>
      <c r="E277" s="38" t="n">
        <v>18000</v>
      </c>
      <c r="F277" s="38" t="n">
        <v>16661</v>
      </c>
      <c r="G277" s="39">
        <f>F277-E277</f>
        <v/>
      </c>
      <c r="H277" s="40">
        <f>IF(E277=0,0,(F277-E277)/E277)</f>
        <v/>
      </c>
      <c r="I277" s="41">
        <f>IF(H277&gt;0.1,"⚠️ Dépassement",IF(H277&lt;-0.1,"✅ Économie","🔵 Normal"))</f>
        <v/>
      </c>
      <c r="J277" s="38">
        <f>SUMPRODUCT((B$3:B277=B277)*(C$3:C277=C277)*(D$3:D277=D277)*E$3:E277)</f>
        <v/>
      </c>
      <c r="K277" s="38">
        <f>SUMPRODUCT((B$3:B277=B277)*(C$3:C277=C277)*(D$3:D277=D277)*F$3:F277)</f>
        <v/>
      </c>
      <c r="L277" s="42">
        <f>IF(J277=0,0,K277/J277)</f>
        <v/>
      </c>
    </row>
    <row r="278">
      <c r="A278" s="23" t="inlineStr">
        <is>
          <t>Juillet</t>
        </is>
      </c>
      <c r="B278" s="23" t="n">
        <v>7</v>
      </c>
      <c r="C278" s="23" t="inlineStr">
        <is>
          <t>Administration</t>
        </is>
      </c>
      <c r="D278" s="23" t="inlineStr">
        <is>
          <t>Matières &amp; Fournitures</t>
        </is>
      </c>
      <c r="E278" s="21" t="n">
        <v>12000</v>
      </c>
      <c r="F278" s="21" t="n">
        <v>12185</v>
      </c>
      <c r="G278" s="39">
        <f>F278-E278</f>
        <v/>
      </c>
      <c r="H278" s="40">
        <f>IF(E278=0,0,(F278-E278)/E278)</f>
        <v/>
      </c>
      <c r="I278" s="41">
        <f>IF(H278&gt;0.1,"⚠️ Dépassement",IF(H278&lt;-0.1,"✅ Économie","🔵 Normal"))</f>
        <v/>
      </c>
      <c r="J278" s="21">
        <f>SUMPRODUCT((B$3:B278=B278)*(C$3:C278=C278)*(D$3:D278=D278)*E$3:E278)</f>
        <v/>
      </c>
      <c r="K278" s="21">
        <f>SUMPRODUCT((B$3:B278=B278)*(C$3:C278=C278)*(D$3:D278=D278)*F$3:F278)</f>
        <v/>
      </c>
      <c r="L278" s="22">
        <f>IF(J278=0,0,K278/J278)</f>
        <v/>
      </c>
    </row>
    <row r="279">
      <c r="A279" s="37" t="inlineStr">
        <is>
          <t>Juillet</t>
        </is>
      </c>
      <c r="B279" s="37" t="n">
        <v>7</v>
      </c>
      <c r="C279" s="37" t="inlineStr">
        <is>
          <t>Administration</t>
        </is>
      </c>
      <c r="D279" s="37" t="inlineStr">
        <is>
          <t>Informatique &amp; Licences</t>
        </is>
      </c>
      <c r="E279" s="38" t="n">
        <v>6000</v>
      </c>
      <c r="F279" s="38" t="n">
        <v>7093</v>
      </c>
      <c r="G279" s="39">
        <f>F279-E279</f>
        <v/>
      </c>
      <c r="H279" s="40">
        <f>IF(E279=0,0,(F279-E279)/E279)</f>
        <v/>
      </c>
      <c r="I279" s="41">
        <f>IF(H279&gt;0.1,"⚠️ Dépassement",IF(H279&lt;-0.1,"✅ Économie","🔵 Normal"))</f>
        <v/>
      </c>
      <c r="J279" s="38">
        <f>SUMPRODUCT((B$3:B279=B279)*(C$3:C279=C279)*(D$3:D279=D279)*E$3:E279)</f>
        <v/>
      </c>
      <c r="K279" s="38">
        <f>SUMPRODUCT((B$3:B279=B279)*(C$3:C279=C279)*(D$3:D279=D279)*F$3:F279)</f>
        <v/>
      </c>
      <c r="L279" s="42">
        <f>IF(J279=0,0,K279/J279)</f>
        <v/>
      </c>
    </row>
    <row r="280">
      <c r="A280" s="23" t="inlineStr">
        <is>
          <t>Juillet</t>
        </is>
      </c>
      <c r="B280" s="23" t="n">
        <v>7</v>
      </c>
      <c r="C280" s="23" t="inlineStr">
        <is>
          <t>Administration</t>
        </is>
      </c>
      <c r="D280" s="23" t="inlineStr">
        <is>
          <t>Déplacements &amp; Missions</t>
        </is>
      </c>
      <c r="E280" s="21" t="n">
        <v>9000</v>
      </c>
      <c r="F280" s="21" t="n">
        <v>10426</v>
      </c>
      <c r="G280" s="39">
        <f>F280-E280</f>
        <v/>
      </c>
      <c r="H280" s="40">
        <f>IF(E280=0,0,(F280-E280)/E280)</f>
        <v/>
      </c>
      <c r="I280" s="41">
        <f>IF(H280&gt;0.1,"⚠️ Dépassement",IF(H280&lt;-0.1,"✅ Économie","🔵 Normal"))</f>
        <v/>
      </c>
      <c r="J280" s="21">
        <f>SUMPRODUCT((B$3:B280=B280)*(C$3:C280=C280)*(D$3:D280=D280)*E$3:E280)</f>
        <v/>
      </c>
      <c r="K280" s="21">
        <f>SUMPRODUCT((B$3:B280=B280)*(C$3:C280=C280)*(D$3:D280=D280)*F$3:F280)</f>
        <v/>
      </c>
      <c r="L280" s="22">
        <f>IF(J280=0,0,K280/J280)</f>
        <v/>
      </c>
    </row>
    <row r="281">
      <c r="A281" s="37" t="inlineStr">
        <is>
          <t>Juillet</t>
        </is>
      </c>
      <c r="B281" s="37" t="n">
        <v>7</v>
      </c>
      <c r="C281" s="37" t="inlineStr">
        <is>
          <t>Administration</t>
        </is>
      </c>
      <c r="D281" s="37" t="inlineStr">
        <is>
          <t>Formation</t>
        </is>
      </c>
      <c r="E281" s="38" t="n">
        <v>5000</v>
      </c>
      <c r="F281" s="38" t="n">
        <v>2029</v>
      </c>
      <c r="G281" s="39">
        <f>F281-E281</f>
        <v/>
      </c>
      <c r="H281" s="40">
        <f>IF(E281=0,0,(F281-E281)/E281)</f>
        <v/>
      </c>
      <c r="I281" s="41">
        <f>IF(H281&gt;0.1,"⚠️ Dépassement",IF(H281&lt;-0.1,"✅ Économie","🔵 Normal"))</f>
        <v/>
      </c>
      <c r="J281" s="38">
        <f>SUMPRODUCT((B$3:B281=B281)*(C$3:C281=C281)*(D$3:D281=D281)*E$3:E281)</f>
        <v/>
      </c>
      <c r="K281" s="38">
        <f>SUMPRODUCT((B$3:B281=B281)*(C$3:C281=C281)*(D$3:D281=D281)*F$3:F281)</f>
        <v/>
      </c>
      <c r="L281" s="42">
        <f>IF(J281=0,0,K281/J281)</f>
        <v/>
      </c>
    </row>
    <row r="282">
      <c r="A282" s="23" t="inlineStr">
        <is>
          <t>Juillet</t>
        </is>
      </c>
      <c r="B282" s="23" t="n">
        <v>7</v>
      </c>
      <c r="C282" s="23" t="inlineStr">
        <is>
          <t>Administration</t>
        </is>
      </c>
      <c r="D282" s="23" t="inlineStr">
        <is>
          <t>Publicité &amp; Communication</t>
        </is>
      </c>
      <c r="E282" s="21" t="n">
        <v>2000</v>
      </c>
      <c r="F282" s="21" t="n">
        <v>1861</v>
      </c>
      <c r="G282" s="39">
        <f>F282-E282</f>
        <v/>
      </c>
      <c r="H282" s="40">
        <f>IF(E282=0,0,(F282-E282)/E282)</f>
        <v/>
      </c>
      <c r="I282" s="41">
        <f>IF(H282&gt;0.1,"⚠️ Dépassement",IF(H282&lt;-0.1,"✅ Économie","🔵 Normal"))</f>
        <v/>
      </c>
      <c r="J282" s="21">
        <f>SUMPRODUCT((B$3:B282=B282)*(C$3:C282=C282)*(D$3:D282=D282)*E$3:E282)</f>
        <v/>
      </c>
      <c r="K282" s="21">
        <f>SUMPRODUCT((B$3:B282=B282)*(C$3:C282=C282)*(D$3:D282=D282)*F$3:F282)</f>
        <v/>
      </c>
      <c r="L282" s="22">
        <f>IF(J282=0,0,K282/J282)</f>
        <v/>
      </c>
    </row>
    <row r="283">
      <c r="A283" s="37" t="inlineStr">
        <is>
          <t>Août</t>
        </is>
      </c>
      <c r="B283" s="37" t="n">
        <v>8</v>
      </c>
      <c r="C283" s="37" t="inlineStr">
        <is>
          <t>RH</t>
        </is>
      </c>
      <c r="D283" s="37" t="inlineStr">
        <is>
          <t>Salaires</t>
        </is>
      </c>
      <c r="E283" s="38" t="n">
        <v>180000</v>
      </c>
      <c r="F283" s="38" t="n">
        <v>147855</v>
      </c>
      <c r="G283" s="39">
        <f>F283-E283</f>
        <v/>
      </c>
      <c r="H283" s="40">
        <f>IF(E283=0,0,(F283-E283)/E283)</f>
        <v/>
      </c>
      <c r="I283" s="41">
        <f>IF(H283&gt;0.1,"⚠️ Dépassement",IF(H283&lt;-0.1,"✅ Économie","🔵 Normal"))</f>
        <v/>
      </c>
      <c r="J283" s="38">
        <f>SUMPRODUCT((B$3:B283=B283)*(C$3:C283=C283)*(D$3:D283=D283)*E$3:E283)</f>
        <v/>
      </c>
      <c r="K283" s="38">
        <f>SUMPRODUCT((B$3:B283=B283)*(C$3:C283=C283)*(D$3:D283=D283)*F$3:F283)</f>
        <v/>
      </c>
      <c r="L283" s="42">
        <f>IF(J283=0,0,K283/J283)</f>
        <v/>
      </c>
    </row>
    <row r="284">
      <c r="A284" s="23" t="inlineStr">
        <is>
          <t>Août</t>
        </is>
      </c>
      <c r="B284" s="23" t="n">
        <v>8</v>
      </c>
      <c r="C284" s="23" t="inlineStr">
        <is>
          <t>RH</t>
        </is>
      </c>
      <c r="D284" s="23" t="inlineStr">
        <is>
          <t>Charges sociales</t>
        </is>
      </c>
      <c r="E284" s="21" t="n">
        <v>54000</v>
      </c>
      <c r="F284" s="21" t="n">
        <v>60936</v>
      </c>
      <c r="G284" s="39">
        <f>F284-E284</f>
        <v/>
      </c>
      <c r="H284" s="40">
        <f>IF(E284=0,0,(F284-E284)/E284)</f>
        <v/>
      </c>
      <c r="I284" s="41">
        <f>IF(H284&gt;0.1,"⚠️ Dépassement",IF(H284&lt;-0.1,"✅ Économie","🔵 Normal"))</f>
        <v/>
      </c>
      <c r="J284" s="21">
        <f>SUMPRODUCT((B$3:B284=B284)*(C$3:C284=C284)*(D$3:D284=D284)*E$3:E284)</f>
        <v/>
      </c>
      <c r="K284" s="21">
        <f>SUMPRODUCT((B$3:B284=B284)*(C$3:C284=C284)*(D$3:D284=D284)*F$3:F284)</f>
        <v/>
      </c>
      <c r="L284" s="22">
        <f>IF(J284=0,0,K284/J284)</f>
        <v/>
      </c>
    </row>
    <row r="285">
      <c r="A285" s="37" t="inlineStr">
        <is>
          <t>Août</t>
        </is>
      </c>
      <c r="B285" s="37" t="n">
        <v>8</v>
      </c>
      <c r="C285" s="37" t="inlineStr">
        <is>
          <t>RH</t>
        </is>
      </c>
      <c r="D285" s="37" t="inlineStr">
        <is>
          <t>Loyer &amp; Charges</t>
        </is>
      </c>
      <c r="E285" s="38" t="n">
        <v>15000</v>
      </c>
      <c r="F285" s="38" t="n">
        <v>16123</v>
      </c>
      <c r="G285" s="39">
        <f>F285-E285</f>
        <v/>
      </c>
      <c r="H285" s="40">
        <f>IF(E285=0,0,(F285-E285)/E285)</f>
        <v/>
      </c>
      <c r="I285" s="41">
        <f>IF(H285&gt;0.1,"⚠️ Dépassement",IF(H285&lt;-0.1,"✅ Économie","🔵 Normal"))</f>
        <v/>
      </c>
      <c r="J285" s="38">
        <f>SUMPRODUCT((B$3:B285=B285)*(C$3:C285=C285)*(D$3:D285=D285)*E$3:E285)</f>
        <v/>
      </c>
      <c r="K285" s="38">
        <f>SUMPRODUCT((B$3:B285=B285)*(C$3:C285=C285)*(D$3:D285=D285)*F$3:F285)</f>
        <v/>
      </c>
      <c r="L285" s="42">
        <f>IF(J285=0,0,K285/J285)</f>
        <v/>
      </c>
    </row>
    <row r="286">
      <c r="A286" s="23" t="inlineStr">
        <is>
          <t>Août</t>
        </is>
      </c>
      <c r="B286" s="23" t="n">
        <v>8</v>
      </c>
      <c r="C286" s="23" t="inlineStr">
        <is>
          <t>RH</t>
        </is>
      </c>
      <c r="D286" s="23" t="inlineStr">
        <is>
          <t>Matières &amp; Fournitures</t>
        </is>
      </c>
      <c r="E286" s="21" t="n">
        <v>8000</v>
      </c>
      <c r="F286" s="21" t="n">
        <v>7398</v>
      </c>
      <c r="G286" s="39">
        <f>F286-E286</f>
        <v/>
      </c>
      <c r="H286" s="40">
        <f>IF(E286=0,0,(F286-E286)/E286)</f>
        <v/>
      </c>
      <c r="I286" s="41">
        <f>IF(H286&gt;0.1,"⚠️ Dépassement",IF(H286&lt;-0.1,"✅ Économie","🔵 Normal"))</f>
        <v/>
      </c>
      <c r="J286" s="21">
        <f>SUMPRODUCT((B$3:B286=B286)*(C$3:C286=C286)*(D$3:D286=D286)*E$3:E286)</f>
        <v/>
      </c>
      <c r="K286" s="21">
        <f>SUMPRODUCT((B$3:B286=B286)*(C$3:C286=C286)*(D$3:D286=D286)*F$3:F286)</f>
        <v/>
      </c>
      <c r="L286" s="22">
        <f>IF(J286=0,0,K286/J286)</f>
        <v/>
      </c>
    </row>
    <row r="287">
      <c r="A287" s="37" t="inlineStr">
        <is>
          <t>Août</t>
        </is>
      </c>
      <c r="B287" s="37" t="n">
        <v>8</v>
      </c>
      <c r="C287" s="37" t="inlineStr">
        <is>
          <t>RH</t>
        </is>
      </c>
      <c r="D287" s="37" t="inlineStr">
        <is>
          <t>Informatique &amp; Licences</t>
        </is>
      </c>
      <c r="E287" s="38" t="n">
        <v>5000</v>
      </c>
      <c r="F287" s="38" t="n">
        <v>5582</v>
      </c>
      <c r="G287" s="39">
        <f>F287-E287</f>
        <v/>
      </c>
      <c r="H287" s="40">
        <f>IF(E287=0,0,(F287-E287)/E287)</f>
        <v/>
      </c>
      <c r="I287" s="41">
        <f>IF(H287&gt;0.1,"⚠️ Dépassement",IF(H287&lt;-0.1,"✅ Économie","🔵 Normal"))</f>
        <v/>
      </c>
      <c r="J287" s="38">
        <f>SUMPRODUCT((B$3:B287=B287)*(C$3:C287=C287)*(D$3:D287=D287)*E$3:E287)</f>
        <v/>
      </c>
      <c r="K287" s="38">
        <f>SUMPRODUCT((B$3:B287=B287)*(C$3:C287=C287)*(D$3:D287=D287)*F$3:F287)</f>
        <v/>
      </c>
      <c r="L287" s="42">
        <f>IF(J287=0,0,K287/J287)</f>
        <v/>
      </c>
    </row>
    <row r="288">
      <c r="A288" s="23" t="inlineStr">
        <is>
          <t>Août</t>
        </is>
      </c>
      <c r="B288" s="23" t="n">
        <v>8</v>
      </c>
      <c r="C288" s="23" t="inlineStr">
        <is>
          <t>RH</t>
        </is>
      </c>
      <c r="D288" s="23" t="inlineStr">
        <is>
          <t>Déplacements &amp; Missions</t>
        </is>
      </c>
      <c r="E288" s="21" t="n">
        <v>7000</v>
      </c>
      <c r="F288" s="21" t="n">
        <v>7285</v>
      </c>
      <c r="G288" s="39">
        <f>F288-E288</f>
        <v/>
      </c>
      <c r="H288" s="40">
        <f>IF(E288=0,0,(F288-E288)/E288)</f>
        <v/>
      </c>
      <c r="I288" s="41">
        <f>IF(H288&gt;0.1,"⚠️ Dépassement",IF(H288&lt;-0.1,"✅ Économie","🔵 Normal"))</f>
        <v/>
      </c>
      <c r="J288" s="21">
        <f>SUMPRODUCT((B$3:B288=B288)*(C$3:C288=C288)*(D$3:D288=D288)*E$3:E288)</f>
        <v/>
      </c>
      <c r="K288" s="21">
        <f>SUMPRODUCT((B$3:B288=B288)*(C$3:C288=C288)*(D$3:D288=D288)*F$3:F288)</f>
        <v/>
      </c>
      <c r="L288" s="22">
        <f>IF(J288=0,0,K288/J288)</f>
        <v/>
      </c>
    </row>
    <row r="289">
      <c r="A289" s="37" t="inlineStr">
        <is>
          <t>Août</t>
        </is>
      </c>
      <c r="B289" s="37" t="n">
        <v>8</v>
      </c>
      <c r="C289" s="37" t="inlineStr">
        <is>
          <t>RH</t>
        </is>
      </c>
      <c r="D289" s="37" t="inlineStr">
        <is>
          <t>Formation</t>
        </is>
      </c>
      <c r="E289" s="38" t="n">
        <v>20000</v>
      </c>
      <c r="F289" s="38" t="n">
        <v>6048</v>
      </c>
      <c r="G289" s="39">
        <f>F289-E289</f>
        <v/>
      </c>
      <c r="H289" s="40">
        <f>IF(E289=0,0,(F289-E289)/E289)</f>
        <v/>
      </c>
      <c r="I289" s="41">
        <f>IF(H289&gt;0.1,"⚠️ Dépassement",IF(H289&lt;-0.1,"✅ Économie","🔵 Normal"))</f>
        <v/>
      </c>
      <c r="J289" s="38">
        <f>SUMPRODUCT((B$3:B289=B289)*(C$3:C289=C289)*(D$3:D289=D289)*E$3:E289)</f>
        <v/>
      </c>
      <c r="K289" s="38">
        <f>SUMPRODUCT((B$3:B289=B289)*(C$3:C289=C289)*(D$3:D289=D289)*F$3:F289)</f>
        <v/>
      </c>
      <c r="L289" s="42">
        <f>IF(J289=0,0,K289/J289)</f>
        <v/>
      </c>
    </row>
    <row r="290">
      <c r="A290" s="23" t="inlineStr">
        <is>
          <t>Août</t>
        </is>
      </c>
      <c r="B290" s="23" t="n">
        <v>8</v>
      </c>
      <c r="C290" s="23" t="inlineStr">
        <is>
          <t>RH</t>
        </is>
      </c>
      <c r="D290" s="23" t="inlineStr">
        <is>
          <t>Publicité &amp; Communication</t>
        </is>
      </c>
      <c r="E290" s="21" t="n">
        <v>3000</v>
      </c>
      <c r="F290" s="21" t="n">
        <v>2550</v>
      </c>
      <c r="G290" s="39">
        <f>F290-E290</f>
        <v/>
      </c>
      <c r="H290" s="40">
        <f>IF(E290=0,0,(F290-E290)/E290)</f>
        <v/>
      </c>
      <c r="I290" s="41">
        <f>IF(H290&gt;0.1,"⚠️ Dépassement",IF(H290&lt;-0.1,"✅ Économie","🔵 Normal"))</f>
        <v/>
      </c>
      <c r="J290" s="21">
        <f>SUMPRODUCT((B$3:B290=B290)*(C$3:C290=C290)*(D$3:D290=D290)*E$3:E290)</f>
        <v/>
      </c>
      <c r="K290" s="21">
        <f>SUMPRODUCT((B$3:B290=B290)*(C$3:C290=C290)*(D$3:D290=D290)*F$3:F290)</f>
        <v/>
      </c>
      <c r="L290" s="22">
        <f>IF(J290=0,0,K290/J290)</f>
        <v/>
      </c>
    </row>
    <row r="291">
      <c r="A291" s="37" t="inlineStr">
        <is>
          <t>Août</t>
        </is>
      </c>
      <c r="B291" s="37" t="n">
        <v>8</v>
      </c>
      <c r="C291" s="37" t="inlineStr">
        <is>
          <t>Marketing</t>
        </is>
      </c>
      <c r="D291" s="37" t="inlineStr">
        <is>
          <t>Salaires</t>
        </is>
      </c>
      <c r="E291" s="38" t="n">
        <v>95000</v>
      </c>
      <c r="F291" s="38" t="n">
        <v>111458</v>
      </c>
      <c r="G291" s="39">
        <f>F291-E291</f>
        <v/>
      </c>
      <c r="H291" s="40">
        <f>IF(E291=0,0,(F291-E291)/E291)</f>
        <v/>
      </c>
      <c r="I291" s="41">
        <f>IF(H291&gt;0.1,"⚠️ Dépassement",IF(H291&lt;-0.1,"✅ Économie","🔵 Normal"))</f>
        <v/>
      </c>
      <c r="J291" s="38">
        <f>SUMPRODUCT((B$3:B291=B291)*(C$3:C291=C291)*(D$3:D291=D291)*E$3:E291)</f>
        <v/>
      </c>
      <c r="K291" s="38">
        <f>SUMPRODUCT((B$3:B291=B291)*(C$3:C291=C291)*(D$3:D291=D291)*F$3:F291)</f>
        <v/>
      </c>
      <c r="L291" s="42">
        <f>IF(J291=0,0,K291/J291)</f>
        <v/>
      </c>
    </row>
    <row r="292">
      <c r="A292" s="23" t="inlineStr">
        <is>
          <t>Août</t>
        </is>
      </c>
      <c r="B292" s="23" t="n">
        <v>8</v>
      </c>
      <c r="C292" s="23" t="inlineStr">
        <is>
          <t>Marketing</t>
        </is>
      </c>
      <c r="D292" s="23" t="inlineStr">
        <is>
          <t>Charges sociales</t>
        </is>
      </c>
      <c r="E292" s="21" t="n">
        <v>28500</v>
      </c>
      <c r="F292" s="21" t="n">
        <v>33675</v>
      </c>
      <c r="G292" s="39">
        <f>F292-E292</f>
        <v/>
      </c>
      <c r="H292" s="40">
        <f>IF(E292=0,0,(F292-E292)/E292)</f>
        <v/>
      </c>
      <c r="I292" s="41">
        <f>IF(H292&gt;0.1,"⚠️ Dépassement",IF(H292&lt;-0.1,"✅ Économie","🔵 Normal"))</f>
        <v/>
      </c>
      <c r="J292" s="21">
        <f>SUMPRODUCT((B$3:B292=B292)*(C$3:C292=C292)*(D$3:D292=D292)*E$3:E292)</f>
        <v/>
      </c>
      <c r="K292" s="21">
        <f>SUMPRODUCT((B$3:B292=B292)*(C$3:C292=C292)*(D$3:D292=D292)*F$3:F292)</f>
        <v/>
      </c>
      <c r="L292" s="22">
        <f>IF(J292=0,0,K292/J292)</f>
        <v/>
      </c>
    </row>
    <row r="293">
      <c r="A293" s="37" t="inlineStr">
        <is>
          <t>Août</t>
        </is>
      </c>
      <c r="B293" s="37" t="n">
        <v>8</v>
      </c>
      <c r="C293" s="37" t="inlineStr">
        <is>
          <t>Marketing</t>
        </is>
      </c>
      <c r="D293" s="37" t="inlineStr">
        <is>
          <t>Loyer &amp; Charges</t>
        </is>
      </c>
      <c r="E293" s="38" t="n">
        <v>12000</v>
      </c>
      <c r="F293" s="38" t="n">
        <v>12459</v>
      </c>
      <c r="G293" s="39">
        <f>F293-E293</f>
        <v/>
      </c>
      <c r="H293" s="40">
        <f>IF(E293=0,0,(F293-E293)/E293)</f>
        <v/>
      </c>
      <c r="I293" s="41">
        <f>IF(H293&gt;0.1,"⚠️ Dépassement",IF(H293&lt;-0.1,"✅ Économie","🔵 Normal"))</f>
        <v/>
      </c>
      <c r="J293" s="38">
        <f>SUMPRODUCT((B$3:B293=B293)*(C$3:C293=C293)*(D$3:D293=D293)*E$3:E293)</f>
        <v/>
      </c>
      <c r="K293" s="38">
        <f>SUMPRODUCT((B$3:B293=B293)*(C$3:C293=C293)*(D$3:D293=D293)*F$3:F293)</f>
        <v/>
      </c>
      <c r="L293" s="42">
        <f>IF(J293=0,0,K293/J293)</f>
        <v/>
      </c>
    </row>
    <row r="294">
      <c r="A294" s="23" t="inlineStr">
        <is>
          <t>Août</t>
        </is>
      </c>
      <c r="B294" s="23" t="n">
        <v>8</v>
      </c>
      <c r="C294" s="23" t="inlineStr">
        <is>
          <t>Marketing</t>
        </is>
      </c>
      <c r="D294" s="23" t="inlineStr">
        <is>
          <t>Matières &amp; Fournitures</t>
        </is>
      </c>
      <c r="E294" s="21" t="n">
        <v>6000</v>
      </c>
      <c r="F294" s="21" t="n">
        <v>6923</v>
      </c>
      <c r="G294" s="39">
        <f>F294-E294</f>
        <v/>
      </c>
      <c r="H294" s="40">
        <f>IF(E294=0,0,(F294-E294)/E294)</f>
        <v/>
      </c>
      <c r="I294" s="41">
        <f>IF(H294&gt;0.1,"⚠️ Dépassement",IF(H294&lt;-0.1,"✅ Économie","🔵 Normal"))</f>
        <v/>
      </c>
      <c r="J294" s="21">
        <f>SUMPRODUCT((B$3:B294=B294)*(C$3:C294=C294)*(D$3:D294=D294)*E$3:E294)</f>
        <v/>
      </c>
      <c r="K294" s="21">
        <f>SUMPRODUCT((B$3:B294=B294)*(C$3:C294=C294)*(D$3:D294=D294)*F$3:F294)</f>
        <v/>
      </c>
      <c r="L294" s="22">
        <f>IF(J294=0,0,K294/J294)</f>
        <v/>
      </c>
    </row>
    <row r="295">
      <c r="A295" s="37" t="inlineStr">
        <is>
          <t>Août</t>
        </is>
      </c>
      <c r="B295" s="37" t="n">
        <v>8</v>
      </c>
      <c r="C295" s="37" t="inlineStr">
        <is>
          <t>Marketing</t>
        </is>
      </c>
      <c r="D295" s="37" t="inlineStr">
        <is>
          <t>Informatique &amp; Licences</t>
        </is>
      </c>
      <c r="E295" s="38" t="n">
        <v>8000</v>
      </c>
      <c r="F295" s="38" t="n">
        <v>8424</v>
      </c>
      <c r="G295" s="39">
        <f>F295-E295</f>
        <v/>
      </c>
      <c r="H295" s="40">
        <f>IF(E295=0,0,(F295-E295)/E295)</f>
        <v/>
      </c>
      <c r="I295" s="41">
        <f>IF(H295&gt;0.1,"⚠️ Dépassement",IF(H295&lt;-0.1,"✅ Économie","🔵 Normal"))</f>
        <v/>
      </c>
      <c r="J295" s="38">
        <f>SUMPRODUCT((B$3:B295=B295)*(C$3:C295=C295)*(D$3:D295=D295)*E$3:E295)</f>
        <v/>
      </c>
      <c r="K295" s="38">
        <f>SUMPRODUCT((B$3:B295=B295)*(C$3:C295=C295)*(D$3:D295=D295)*F$3:F295)</f>
        <v/>
      </c>
      <c r="L295" s="42">
        <f>IF(J295=0,0,K295/J295)</f>
        <v/>
      </c>
    </row>
    <row r="296">
      <c r="A296" s="23" t="inlineStr">
        <is>
          <t>Août</t>
        </is>
      </c>
      <c r="B296" s="23" t="n">
        <v>8</v>
      </c>
      <c r="C296" s="23" t="inlineStr">
        <is>
          <t>Marketing</t>
        </is>
      </c>
      <c r="D296" s="23" t="inlineStr">
        <is>
          <t>Déplacements &amp; Missions</t>
        </is>
      </c>
      <c r="E296" s="21" t="n">
        <v>15000</v>
      </c>
      <c r="F296" s="21" t="n">
        <v>13189</v>
      </c>
      <c r="G296" s="39">
        <f>F296-E296</f>
        <v/>
      </c>
      <c r="H296" s="40">
        <f>IF(E296=0,0,(F296-E296)/E296)</f>
        <v/>
      </c>
      <c r="I296" s="41">
        <f>IF(H296&gt;0.1,"⚠️ Dépassement",IF(H296&lt;-0.1,"✅ Économie","🔵 Normal"))</f>
        <v/>
      </c>
      <c r="J296" s="21">
        <f>SUMPRODUCT((B$3:B296=B296)*(C$3:C296=C296)*(D$3:D296=D296)*E$3:E296)</f>
        <v/>
      </c>
      <c r="K296" s="21">
        <f>SUMPRODUCT((B$3:B296=B296)*(C$3:C296=C296)*(D$3:D296=D296)*F$3:F296)</f>
        <v/>
      </c>
      <c r="L296" s="22">
        <f>IF(J296=0,0,K296/J296)</f>
        <v/>
      </c>
    </row>
    <row r="297">
      <c r="A297" s="37" t="inlineStr">
        <is>
          <t>Août</t>
        </is>
      </c>
      <c r="B297" s="37" t="n">
        <v>8</v>
      </c>
      <c r="C297" s="37" t="inlineStr">
        <is>
          <t>Marketing</t>
        </is>
      </c>
      <c r="D297" s="37" t="inlineStr">
        <is>
          <t>Formation</t>
        </is>
      </c>
      <c r="E297" s="38" t="n">
        <v>8000</v>
      </c>
      <c r="F297" s="38" t="n">
        <v>3017</v>
      </c>
      <c r="G297" s="39">
        <f>F297-E297</f>
        <v/>
      </c>
      <c r="H297" s="40">
        <f>IF(E297=0,0,(F297-E297)/E297)</f>
        <v/>
      </c>
      <c r="I297" s="41">
        <f>IF(H297&gt;0.1,"⚠️ Dépassement",IF(H297&lt;-0.1,"✅ Économie","🔵 Normal"))</f>
        <v/>
      </c>
      <c r="J297" s="38">
        <f>SUMPRODUCT((B$3:B297=B297)*(C$3:C297=C297)*(D$3:D297=D297)*E$3:E297)</f>
        <v/>
      </c>
      <c r="K297" s="38">
        <f>SUMPRODUCT((B$3:B297=B297)*(C$3:C297=C297)*(D$3:D297=D297)*F$3:F297)</f>
        <v/>
      </c>
      <c r="L297" s="42">
        <f>IF(J297=0,0,K297/J297)</f>
        <v/>
      </c>
    </row>
    <row r="298">
      <c r="A298" s="23" t="inlineStr">
        <is>
          <t>Août</t>
        </is>
      </c>
      <c r="B298" s="23" t="n">
        <v>8</v>
      </c>
      <c r="C298" s="23" t="inlineStr">
        <is>
          <t>Marketing</t>
        </is>
      </c>
      <c r="D298" s="23" t="inlineStr">
        <is>
          <t>Publicité &amp; Communication</t>
        </is>
      </c>
      <c r="E298" s="21" t="n">
        <v>45000</v>
      </c>
      <c r="F298" s="21" t="n">
        <v>53082</v>
      </c>
      <c r="G298" s="39">
        <f>F298-E298</f>
        <v/>
      </c>
      <c r="H298" s="40">
        <f>IF(E298=0,0,(F298-E298)/E298)</f>
        <v/>
      </c>
      <c r="I298" s="41">
        <f>IF(H298&gt;0.1,"⚠️ Dépassement",IF(H298&lt;-0.1,"✅ Économie","🔵 Normal"))</f>
        <v/>
      </c>
      <c r="J298" s="21">
        <f>SUMPRODUCT((B$3:B298=B298)*(C$3:C298=C298)*(D$3:D298=D298)*E$3:E298)</f>
        <v/>
      </c>
      <c r="K298" s="21">
        <f>SUMPRODUCT((B$3:B298=B298)*(C$3:C298=C298)*(D$3:D298=D298)*F$3:F298)</f>
        <v/>
      </c>
      <c r="L298" s="22">
        <f>IF(J298=0,0,K298/J298)</f>
        <v/>
      </c>
    </row>
    <row r="299">
      <c r="A299" s="37" t="inlineStr">
        <is>
          <t>Août</t>
        </is>
      </c>
      <c r="B299" s="37" t="n">
        <v>8</v>
      </c>
      <c r="C299" s="37" t="inlineStr">
        <is>
          <t>Production</t>
        </is>
      </c>
      <c r="D299" s="37" t="inlineStr">
        <is>
          <t>Salaires</t>
        </is>
      </c>
      <c r="E299" s="38" t="n">
        <v>220000</v>
      </c>
      <c r="F299" s="38" t="n">
        <v>250459</v>
      </c>
      <c r="G299" s="39">
        <f>F299-E299</f>
        <v/>
      </c>
      <c r="H299" s="40">
        <f>IF(E299=0,0,(F299-E299)/E299)</f>
        <v/>
      </c>
      <c r="I299" s="41">
        <f>IF(H299&gt;0.1,"⚠️ Dépassement",IF(H299&lt;-0.1,"✅ Économie","🔵 Normal"))</f>
        <v/>
      </c>
      <c r="J299" s="38">
        <f>SUMPRODUCT((B$3:B299=B299)*(C$3:C299=C299)*(D$3:D299=D299)*E$3:E299)</f>
        <v/>
      </c>
      <c r="K299" s="38">
        <f>SUMPRODUCT((B$3:B299=B299)*(C$3:C299=C299)*(D$3:D299=D299)*F$3:F299)</f>
        <v/>
      </c>
      <c r="L299" s="42">
        <f>IF(J299=0,0,K299/J299)</f>
        <v/>
      </c>
    </row>
    <row r="300">
      <c r="A300" s="23" t="inlineStr">
        <is>
          <t>Août</t>
        </is>
      </c>
      <c r="B300" s="23" t="n">
        <v>8</v>
      </c>
      <c r="C300" s="23" t="inlineStr">
        <is>
          <t>Production</t>
        </is>
      </c>
      <c r="D300" s="23" t="inlineStr">
        <is>
          <t>Charges sociales</t>
        </is>
      </c>
      <c r="E300" s="21" t="n">
        <v>66000</v>
      </c>
      <c r="F300" s="21" t="n">
        <v>76843</v>
      </c>
      <c r="G300" s="39">
        <f>F300-E300</f>
        <v/>
      </c>
      <c r="H300" s="40">
        <f>IF(E300=0,0,(F300-E300)/E300)</f>
        <v/>
      </c>
      <c r="I300" s="41">
        <f>IF(H300&gt;0.1,"⚠️ Dépassement",IF(H300&lt;-0.1,"✅ Économie","🔵 Normal"))</f>
        <v/>
      </c>
      <c r="J300" s="21">
        <f>SUMPRODUCT((B$3:B300=B300)*(C$3:C300=C300)*(D$3:D300=D300)*E$3:E300)</f>
        <v/>
      </c>
      <c r="K300" s="21">
        <f>SUMPRODUCT((B$3:B300=B300)*(C$3:C300=C300)*(D$3:D300=D300)*F$3:F300)</f>
        <v/>
      </c>
      <c r="L300" s="22">
        <f>IF(J300=0,0,K300/J300)</f>
        <v/>
      </c>
    </row>
    <row r="301">
      <c r="A301" s="37" t="inlineStr">
        <is>
          <t>Août</t>
        </is>
      </c>
      <c r="B301" s="37" t="n">
        <v>8</v>
      </c>
      <c r="C301" s="37" t="inlineStr">
        <is>
          <t>Production</t>
        </is>
      </c>
      <c r="D301" s="37" t="inlineStr">
        <is>
          <t>Loyer &amp; Charges</t>
        </is>
      </c>
      <c r="E301" s="38" t="n">
        <v>35000</v>
      </c>
      <c r="F301" s="38" t="n">
        <v>41285</v>
      </c>
      <c r="G301" s="39">
        <f>F301-E301</f>
        <v/>
      </c>
      <c r="H301" s="40">
        <f>IF(E301=0,0,(F301-E301)/E301)</f>
        <v/>
      </c>
      <c r="I301" s="41">
        <f>IF(H301&gt;0.1,"⚠️ Dépassement",IF(H301&lt;-0.1,"✅ Économie","🔵 Normal"))</f>
        <v/>
      </c>
      <c r="J301" s="38">
        <f>SUMPRODUCT((B$3:B301=B301)*(C$3:C301=C301)*(D$3:D301=D301)*E$3:E301)</f>
        <v/>
      </c>
      <c r="K301" s="38">
        <f>SUMPRODUCT((B$3:B301=B301)*(C$3:C301=C301)*(D$3:D301=D301)*F$3:F301)</f>
        <v/>
      </c>
      <c r="L301" s="42">
        <f>IF(J301=0,0,K301/J301)</f>
        <v/>
      </c>
    </row>
    <row r="302">
      <c r="A302" s="23" t="inlineStr">
        <is>
          <t>Août</t>
        </is>
      </c>
      <c r="B302" s="23" t="n">
        <v>8</v>
      </c>
      <c r="C302" s="23" t="inlineStr">
        <is>
          <t>Production</t>
        </is>
      </c>
      <c r="D302" s="23" t="inlineStr">
        <is>
          <t>Matières &amp; Fournitures</t>
        </is>
      </c>
      <c r="E302" s="21" t="n">
        <v>85000</v>
      </c>
      <c r="F302" s="21" t="n">
        <v>76843</v>
      </c>
      <c r="G302" s="39">
        <f>F302-E302</f>
        <v/>
      </c>
      <c r="H302" s="40">
        <f>IF(E302=0,0,(F302-E302)/E302)</f>
        <v/>
      </c>
      <c r="I302" s="41">
        <f>IF(H302&gt;0.1,"⚠️ Dépassement",IF(H302&lt;-0.1,"✅ Économie","🔵 Normal"))</f>
        <v/>
      </c>
      <c r="J302" s="21">
        <f>SUMPRODUCT((B$3:B302=B302)*(C$3:C302=C302)*(D$3:D302=D302)*E$3:E302)</f>
        <v/>
      </c>
      <c r="K302" s="21">
        <f>SUMPRODUCT((B$3:B302=B302)*(C$3:C302=C302)*(D$3:D302=D302)*F$3:F302)</f>
        <v/>
      </c>
      <c r="L302" s="22">
        <f>IF(J302=0,0,K302/J302)</f>
        <v/>
      </c>
    </row>
    <row r="303">
      <c r="A303" s="37" t="inlineStr">
        <is>
          <t>Août</t>
        </is>
      </c>
      <c r="B303" s="37" t="n">
        <v>8</v>
      </c>
      <c r="C303" s="37" t="inlineStr">
        <is>
          <t>Production</t>
        </is>
      </c>
      <c r="D303" s="37" t="inlineStr">
        <is>
          <t>Informatique &amp; Licences</t>
        </is>
      </c>
      <c r="E303" s="38" t="n">
        <v>12000</v>
      </c>
      <c r="F303" s="38" t="n">
        <v>11038</v>
      </c>
      <c r="G303" s="39">
        <f>F303-E303</f>
        <v/>
      </c>
      <c r="H303" s="40">
        <f>IF(E303=0,0,(F303-E303)/E303)</f>
        <v/>
      </c>
      <c r="I303" s="41">
        <f>IF(H303&gt;0.1,"⚠️ Dépassement",IF(H303&lt;-0.1,"✅ Économie","🔵 Normal"))</f>
        <v/>
      </c>
      <c r="J303" s="38">
        <f>SUMPRODUCT((B$3:B303=B303)*(C$3:C303=C303)*(D$3:D303=D303)*E$3:E303)</f>
        <v/>
      </c>
      <c r="K303" s="38">
        <f>SUMPRODUCT((B$3:B303=B303)*(C$3:C303=C303)*(D$3:D303=D303)*F$3:F303)</f>
        <v/>
      </c>
      <c r="L303" s="42">
        <f>IF(J303=0,0,K303/J303)</f>
        <v/>
      </c>
    </row>
    <row r="304">
      <c r="A304" s="23" t="inlineStr">
        <is>
          <t>Août</t>
        </is>
      </c>
      <c r="B304" s="23" t="n">
        <v>8</v>
      </c>
      <c r="C304" s="23" t="inlineStr">
        <is>
          <t>Production</t>
        </is>
      </c>
      <c r="D304" s="23" t="inlineStr">
        <is>
          <t>Déplacements &amp; Missions</t>
        </is>
      </c>
      <c r="E304" s="21" t="n">
        <v>10000</v>
      </c>
      <c r="F304" s="21" t="n">
        <v>8611</v>
      </c>
      <c r="G304" s="39">
        <f>F304-E304</f>
        <v/>
      </c>
      <c r="H304" s="40">
        <f>IF(E304=0,0,(F304-E304)/E304)</f>
        <v/>
      </c>
      <c r="I304" s="41">
        <f>IF(H304&gt;0.1,"⚠️ Dépassement",IF(H304&lt;-0.1,"✅ Économie","🔵 Normal"))</f>
        <v/>
      </c>
      <c r="J304" s="21">
        <f>SUMPRODUCT((B$3:B304=B304)*(C$3:C304=C304)*(D$3:D304=D304)*E$3:E304)</f>
        <v/>
      </c>
      <c r="K304" s="21">
        <f>SUMPRODUCT((B$3:B304=B304)*(C$3:C304=C304)*(D$3:D304=D304)*F$3:F304)</f>
        <v/>
      </c>
      <c r="L304" s="22">
        <f>IF(J304=0,0,K304/J304)</f>
        <v/>
      </c>
    </row>
    <row r="305">
      <c r="A305" s="37" t="inlineStr">
        <is>
          <t>Août</t>
        </is>
      </c>
      <c r="B305" s="37" t="n">
        <v>8</v>
      </c>
      <c r="C305" s="37" t="inlineStr">
        <is>
          <t>Production</t>
        </is>
      </c>
      <c r="D305" s="37" t="inlineStr">
        <is>
          <t>Formation</t>
        </is>
      </c>
      <c r="E305" s="38" t="n">
        <v>15000</v>
      </c>
      <c r="F305" s="38" t="n">
        <v>7816</v>
      </c>
      <c r="G305" s="39">
        <f>F305-E305</f>
        <v/>
      </c>
      <c r="H305" s="40">
        <f>IF(E305=0,0,(F305-E305)/E305)</f>
        <v/>
      </c>
      <c r="I305" s="41">
        <f>IF(H305&gt;0.1,"⚠️ Dépassement",IF(H305&lt;-0.1,"✅ Économie","🔵 Normal"))</f>
        <v/>
      </c>
      <c r="J305" s="38">
        <f>SUMPRODUCT((B$3:B305=B305)*(C$3:C305=C305)*(D$3:D305=D305)*E$3:E305)</f>
        <v/>
      </c>
      <c r="K305" s="38">
        <f>SUMPRODUCT((B$3:B305=B305)*(C$3:C305=C305)*(D$3:D305=D305)*F$3:F305)</f>
        <v/>
      </c>
      <c r="L305" s="42">
        <f>IF(J305=0,0,K305/J305)</f>
        <v/>
      </c>
    </row>
    <row r="306">
      <c r="A306" s="23" t="inlineStr">
        <is>
          <t>Août</t>
        </is>
      </c>
      <c r="B306" s="23" t="n">
        <v>8</v>
      </c>
      <c r="C306" s="23" t="inlineStr">
        <is>
          <t>Production</t>
        </is>
      </c>
      <c r="D306" s="23" t="inlineStr">
        <is>
          <t>Publicité &amp; Communication</t>
        </is>
      </c>
      <c r="E306" s="21" t="n">
        <v>5000</v>
      </c>
      <c r="F306" s="21" t="n">
        <v>4913</v>
      </c>
      <c r="G306" s="39">
        <f>F306-E306</f>
        <v/>
      </c>
      <c r="H306" s="40">
        <f>IF(E306=0,0,(F306-E306)/E306)</f>
        <v/>
      </c>
      <c r="I306" s="41">
        <f>IF(H306&gt;0.1,"⚠️ Dépassement",IF(H306&lt;-0.1,"✅ Économie","🔵 Normal"))</f>
        <v/>
      </c>
      <c r="J306" s="21">
        <f>SUMPRODUCT((B$3:B306=B306)*(C$3:C306=C306)*(D$3:D306=D306)*E$3:E306)</f>
        <v/>
      </c>
      <c r="K306" s="21">
        <f>SUMPRODUCT((B$3:B306=B306)*(C$3:C306=C306)*(D$3:D306=D306)*F$3:F306)</f>
        <v/>
      </c>
      <c r="L306" s="22">
        <f>IF(J306=0,0,K306/J306)</f>
        <v/>
      </c>
    </row>
    <row r="307">
      <c r="A307" s="37" t="inlineStr">
        <is>
          <t>Août</t>
        </is>
      </c>
      <c r="B307" s="37" t="n">
        <v>8</v>
      </c>
      <c r="C307" s="37" t="inlineStr">
        <is>
          <t>IT</t>
        </is>
      </c>
      <c r="D307" s="37" t="inlineStr">
        <is>
          <t>Salaires</t>
        </is>
      </c>
      <c r="E307" s="38" t="n">
        <v>130000</v>
      </c>
      <c r="F307" s="38" t="n">
        <v>138874</v>
      </c>
      <c r="G307" s="39">
        <f>F307-E307</f>
        <v/>
      </c>
      <c r="H307" s="40">
        <f>IF(E307=0,0,(F307-E307)/E307)</f>
        <v/>
      </c>
      <c r="I307" s="41">
        <f>IF(H307&gt;0.1,"⚠️ Dépassement",IF(H307&lt;-0.1,"✅ Économie","🔵 Normal"))</f>
        <v/>
      </c>
      <c r="J307" s="38">
        <f>SUMPRODUCT((B$3:B307=B307)*(C$3:C307=C307)*(D$3:D307=D307)*E$3:E307)</f>
        <v/>
      </c>
      <c r="K307" s="38">
        <f>SUMPRODUCT((B$3:B307=B307)*(C$3:C307=C307)*(D$3:D307=D307)*F$3:F307)</f>
        <v/>
      </c>
      <c r="L307" s="42">
        <f>IF(J307=0,0,K307/J307)</f>
        <v/>
      </c>
    </row>
    <row r="308">
      <c r="A308" s="23" t="inlineStr">
        <is>
          <t>Août</t>
        </is>
      </c>
      <c r="B308" s="23" t="n">
        <v>8</v>
      </c>
      <c r="C308" s="23" t="inlineStr">
        <is>
          <t>IT</t>
        </is>
      </c>
      <c r="D308" s="23" t="inlineStr">
        <is>
          <t>Charges sociales</t>
        </is>
      </c>
      <c r="E308" s="21" t="n">
        <v>39000</v>
      </c>
      <c r="F308" s="21" t="n">
        <v>34391</v>
      </c>
      <c r="G308" s="39">
        <f>F308-E308</f>
        <v/>
      </c>
      <c r="H308" s="40">
        <f>IF(E308=0,0,(F308-E308)/E308)</f>
        <v/>
      </c>
      <c r="I308" s="41">
        <f>IF(H308&gt;0.1,"⚠️ Dépassement",IF(H308&lt;-0.1,"✅ Économie","🔵 Normal"))</f>
        <v/>
      </c>
      <c r="J308" s="21">
        <f>SUMPRODUCT((B$3:B308=B308)*(C$3:C308=C308)*(D$3:D308=D308)*E$3:E308)</f>
        <v/>
      </c>
      <c r="K308" s="21">
        <f>SUMPRODUCT((B$3:B308=B308)*(C$3:C308=C308)*(D$3:D308=D308)*F$3:F308)</f>
        <v/>
      </c>
      <c r="L308" s="22">
        <f>IF(J308=0,0,K308/J308)</f>
        <v/>
      </c>
    </row>
    <row r="309">
      <c r="A309" s="37" t="inlineStr">
        <is>
          <t>Août</t>
        </is>
      </c>
      <c r="B309" s="37" t="n">
        <v>8</v>
      </c>
      <c r="C309" s="37" t="inlineStr">
        <is>
          <t>IT</t>
        </is>
      </c>
      <c r="D309" s="37" t="inlineStr">
        <is>
          <t>Loyer &amp; Charges</t>
        </is>
      </c>
      <c r="E309" s="38" t="n">
        <v>10000</v>
      </c>
      <c r="F309" s="38" t="n">
        <v>11920</v>
      </c>
      <c r="G309" s="39">
        <f>F309-E309</f>
        <v/>
      </c>
      <c r="H309" s="40">
        <f>IF(E309=0,0,(F309-E309)/E309)</f>
        <v/>
      </c>
      <c r="I309" s="41">
        <f>IF(H309&gt;0.1,"⚠️ Dépassement",IF(H309&lt;-0.1,"✅ Économie","🔵 Normal"))</f>
        <v/>
      </c>
      <c r="J309" s="38">
        <f>SUMPRODUCT((B$3:B309=B309)*(C$3:C309=C309)*(D$3:D309=D309)*E$3:E309)</f>
        <v/>
      </c>
      <c r="K309" s="38">
        <f>SUMPRODUCT((B$3:B309=B309)*(C$3:C309=C309)*(D$3:D309=D309)*F$3:F309)</f>
        <v/>
      </c>
      <c r="L309" s="42">
        <f>IF(J309=0,0,K309/J309)</f>
        <v/>
      </c>
    </row>
    <row r="310">
      <c r="A310" s="23" t="inlineStr">
        <is>
          <t>Août</t>
        </is>
      </c>
      <c r="B310" s="23" t="n">
        <v>8</v>
      </c>
      <c r="C310" s="23" t="inlineStr">
        <is>
          <t>IT</t>
        </is>
      </c>
      <c r="D310" s="23" t="inlineStr">
        <is>
          <t>Matières &amp; Fournitures</t>
        </is>
      </c>
      <c r="E310" s="21" t="n">
        <v>20000</v>
      </c>
      <c r="F310" s="21" t="n">
        <v>23317</v>
      </c>
      <c r="G310" s="39">
        <f>F310-E310</f>
        <v/>
      </c>
      <c r="H310" s="40">
        <f>IF(E310=0,0,(F310-E310)/E310)</f>
        <v/>
      </c>
      <c r="I310" s="41">
        <f>IF(H310&gt;0.1,"⚠️ Dépassement",IF(H310&lt;-0.1,"✅ Économie","🔵 Normal"))</f>
        <v/>
      </c>
      <c r="J310" s="21">
        <f>SUMPRODUCT((B$3:B310=B310)*(C$3:C310=C310)*(D$3:D310=D310)*E$3:E310)</f>
        <v/>
      </c>
      <c r="K310" s="21">
        <f>SUMPRODUCT((B$3:B310=B310)*(C$3:C310=C310)*(D$3:D310=D310)*F$3:F310)</f>
        <v/>
      </c>
      <c r="L310" s="22">
        <f>IF(J310=0,0,K310/J310)</f>
        <v/>
      </c>
    </row>
    <row r="311">
      <c r="A311" s="37" t="inlineStr">
        <is>
          <t>Août</t>
        </is>
      </c>
      <c r="B311" s="37" t="n">
        <v>8</v>
      </c>
      <c r="C311" s="37" t="inlineStr">
        <is>
          <t>IT</t>
        </is>
      </c>
      <c r="D311" s="37" t="inlineStr">
        <is>
          <t>Informatique &amp; Licences</t>
        </is>
      </c>
      <c r="E311" s="38" t="n">
        <v>50000</v>
      </c>
      <c r="F311" s="38" t="n">
        <v>60524</v>
      </c>
      <c r="G311" s="39">
        <f>F311-E311</f>
        <v/>
      </c>
      <c r="H311" s="40">
        <f>IF(E311=0,0,(F311-E311)/E311)</f>
        <v/>
      </c>
      <c r="I311" s="41">
        <f>IF(H311&gt;0.1,"⚠️ Dépassement",IF(H311&lt;-0.1,"✅ Économie","🔵 Normal"))</f>
        <v/>
      </c>
      <c r="J311" s="38">
        <f>SUMPRODUCT((B$3:B311=B311)*(C$3:C311=C311)*(D$3:D311=D311)*E$3:E311)</f>
        <v/>
      </c>
      <c r="K311" s="38">
        <f>SUMPRODUCT((B$3:B311=B311)*(C$3:C311=C311)*(D$3:D311=D311)*F$3:F311)</f>
        <v/>
      </c>
      <c r="L311" s="42">
        <f>IF(J311=0,0,K311/J311)</f>
        <v/>
      </c>
    </row>
    <row r="312">
      <c r="A312" s="23" t="inlineStr">
        <is>
          <t>Août</t>
        </is>
      </c>
      <c r="B312" s="23" t="n">
        <v>8</v>
      </c>
      <c r="C312" s="23" t="inlineStr">
        <is>
          <t>IT</t>
        </is>
      </c>
      <c r="D312" s="23" t="inlineStr">
        <is>
          <t>Déplacements &amp; Missions</t>
        </is>
      </c>
      <c r="E312" s="21" t="n">
        <v>8000</v>
      </c>
      <c r="F312" s="21" t="n">
        <v>9154</v>
      </c>
      <c r="G312" s="39">
        <f>F312-E312</f>
        <v/>
      </c>
      <c r="H312" s="40">
        <f>IF(E312=0,0,(F312-E312)/E312)</f>
        <v/>
      </c>
      <c r="I312" s="41">
        <f>IF(H312&gt;0.1,"⚠️ Dépassement",IF(H312&lt;-0.1,"✅ Économie","🔵 Normal"))</f>
        <v/>
      </c>
      <c r="J312" s="21">
        <f>SUMPRODUCT((B$3:B312=B312)*(C$3:C312=C312)*(D$3:D312=D312)*E$3:E312)</f>
        <v/>
      </c>
      <c r="K312" s="21">
        <f>SUMPRODUCT((B$3:B312=B312)*(C$3:C312=C312)*(D$3:D312=D312)*F$3:F312)</f>
        <v/>
      </c>
      <c r="L312" s="22">
        <f>IF(J312=0,0,K312/J312)</f>
        <v/>
      </c>
    </row>
    <row r="313">
      <c r="A313" s="37" t="inlineStr">
        <is>
          <t>Août</t>
        </is>
      </c>
      <c r="B313" s="37" t="n">
        <v>8</v>
      </c>
      <c r="C313" s="37" t="inlineStr">
        <is>
          <t>IT</t>
        </is>
      </c>
      <c r="D313" s="37" t="inlineStr">
        <is>
          <t>Formation</t>
        </is>
      </c>
      <c r="E313" s="38" t="n">
        <v>18000</v>
      </c>
      <c r="F313" s="38" t="n">
        <v>5512</v>
      </c>
      <c r="G313" s="39">
        <f>F313-E313</f>
        <v/>
      </c>
      <c r="H313" s="40">
        <f>IF(E313=0,0,(F313-E313)/E313)</f>
        <v/>
      </c>
      <c r="I313" s="41">
        <f>IF(H313&gt;0.1,"⚠️ Dépassement",IF(H313&lt;-0.1,"✅ Économie","🔵 Normal"))</f>
        <v/>
      </c>
      <c r="J313" s="38">
        <f>SUMPRODUCT((B$3:B313=B313)*(C$3:C313=C313)*(D$3:D313=D313)*E$3:E313)</f>
        <v/>
      </c>
      <c r="K313" s="38">
        <f>SUMPRODUCT((B$3:B313=B313)*(C$3:C313=C313)*(D$3:D313=D313)*F$3:F313)</f>
        <v/>
      </c>
      <c r="L313" s="42">
        <f>IF(J313=0,0,K313/J313)</f>
        <v/>
      </c>
    </row>
    <row r="314">
      <c r="A314" s="23" t="inlineStr">
        <is>
          <t>Août</t>
        </is>
      </c>
      <c r="B314" s="23" t="n">
        <v>8</v>
      </c>
      <c r="C314" s="23" t="inlineStr">
        <is>
          <t>IT</t>
        </is>
      </c>
      <c r="D314" s="23" t="inlineStr">
        <is>
          <t>Publicité &amp; Communication</t>
        </is>
      </c>
      <c r="E314" s="21" t="n">
        <v>4000</v>
      </c>
      <c r="F314" s="21" t="n">
        <v>4459</v>
      </c>
      <c r="G314" s="39">
        <f>F314-E314</f>
        <v/>
      </c>
      <c r="H314" s="40">
        <f>IF(E314=0,0,(F314-E314)/E314)</f>
        <v/>
      </c>
      <c r="I314" s="41">
        <f>IF(H314&gt;0.1,"⚠️ Dépassement",IF(H314&lt;-0.1,"✅ Économie","🔵 Normal"))</f>
        <v/>
      </c>
      <c r="J314" s="21">
        <f>SUMPRODUCT((B$3:B314=B314)*(C$3:C314=C314)*(D$3:D314=D314)*E$3:E314)</f>
        <v/>
      </c>
      <c r="K314" s="21">
        <f>SUMPRODUCT((B$3:B314=B314)*(C$3:C314=C314)*(D$3:D314=D314)*F$3:F314)</f>
        <v/>
      </c>
      <c r="L314" s="22">
        <f>IF(J314=0,0,K314/J314)</f>
        <v/>
      </c>
    </row>
    <row r="315">
      <c r="A315" s="37" t="inlineStr">
        <is>
          <t>Août</t>
        </is>
      </c>
      <c r="B315" s="37" t="n">
        <v>8</v>
      </c>
      <c r="C315" s="37" t="inlineStr">
        <is>
          <t>Administration</t>
        </is>
      </c>
      <c r="D315" s="37" t="inlineStr">
        <is>
          <t>Salaires</t>
        </is>
      </c>
      <c r="E315" s="38" t="n">
        <v>75000</v>
      </c>
      <c r="F315" s="38" t="n">
        <v>71466</v>
      </c>
      <c r="G315" s="39">
        <f>F315-E315</f>
        <v/>
      </c>
      <c r="H315" s="40">
        <f>IF(E315=0,0,(F315-E315)/E315)</f>
        <v/>
      </c>
      <c r="I315" s="41">
        <f>IF(H315&gt;0.1,"⚠️ Dépassement",IF(H315&lt;-0.1,"✅ Économie","🔵 Normal"))</f>
        <v/>
      </c>
      <c r="J315" s="38">
        <f>SUMPRODUCT((B$3:B315=B315)*(C$3:C315=C315)*(D$3:D315=D315)*E$3:E315)</f>
        <v/>
      </c>
      <c r="K315" s="38">
        <f>SUMPRODUCT((B$3:B315=B315)*(C$3:C315=C315)*(D$3:D315=D315)*F$3:F315)</f>
        <v/>
      </c>
      <c r="L315" s="42">
        <f>IF(J315=0,0,K315/J315)</f>
        <v/>
      </c>
    </row>
    <row r="316">
      <c r="A316" s="23" t="inlineStr">
        <is>
          <t>Août</t>
        </is>
      </c>
      <c r="B316" s="23" t="n">
        <v>8</v>
      </c>
      <c r="C316" s="23" t="inlineStr">
        <is>
          <t>Administration</t>
        </is>
      </c>
      <c r="D316" s="23" t="inlineStr">
        <is>
          <t>Charges sociales</t>
        </is>
      </c>
      <c r="E316" s="21" t="n">
        <v>22500</v>
      </c>
      <c r="F316" s="21" t="n">
        <v>26827</v>
      </c>
      <c r="G316" s="39">
        <f>F316-E316</f>
        <v/>
      </c>
      <c r="H316" s="40">
        <f>IF(E316=0,0,(F316-E316)/E316)</f>
        <v/>
      </c>
      <c r="I316" s="41">
        <f>IF(H316&gt;0.1,"⚠️ Dépassement",IF(H316&lt;-0.1,"✅ Économie","🔵 Normal"))</f>
        <v/>
      </c>
      <c r="J316" s="21">
        <f>SUMPRODUCT((B$3:B316=B316)*(C$3:C316=C316)*(D$3:D316=D316)*E$3:E316)</f>
        <v/>
      </c>
      <c r="K316" s="21">
        <f>SUMPRODUCT((B$3:B316=B316)*(C$3:C316=C316)*(D$3:D316=D316)*F$3:F316)</f>
        <v/>
      </c>
      <c r="L316" s="22">
        <f>IF(J316=0,0,K316/J316)</f>
        <v/>
      </c>
    </row>
    <row r="317">
      <c r="A317" s="37" t="inlineStr">
        <is>
          <t>Août</t>
        </is>
      </c>
      <c r="B317" s="37" t="n">
        <v>8</v>
      </c>
      <c r="C317" s="37" t="inlineStr">
        <is>
          <t>Administration</t>
        </is>
      </c>
      <c r="D317" s="37" t="inlineStr">
        <is>
          <t>Loyer &amp; Charges</t>
        </is>
      </c>
      <c r="E317" s="38" t="n">
        <v>18000</v>
      </c>
      <c r="F317" s="38" t="n">
        <v>20536</v>
      </c>
      <c r="G317" s="39">
        <f>F317-E317</f>
        <v/>
      </c>
      <c r="H317" s="40">
        <f>IF(E317=0,0,(F317-E317)/E317)</f>
        <v/>
      </c>
      <c r="I317" s="41">
        <f>IF(H317&gt;0.1,"⚠️ Dépassement",IF(H317&lt;-0.1,"✅ Économie","🔵 Normal"))</f>
        <v/>
      </c>
      <c r="J317" s="38">
        <f>SUMPRODUCT((B$3:B317=B317)*(C$3:C317=C317)*(D$3:D317=D317)*E$3:E317)</f>
        <v/>
      </c>
      <c r="K317" s="38">
        <f>SUMPRODUCT((B$3:B317=B317)*(C$3:C317=C317)*(D$3:D317=D317)*F$3:F317)</f>
        <v/>
      </c>
      <c r="L317" s="42">
        <f>IF(J317=0,0,K317/J317)</f>
        <v/>
      </c>
    </row>
    <row r="318">
      <c r="A318" s="23" t="inlineStr">
        <is>
          <t>Août</t>
        </is>
      </c>
      <c r="B318" s="23" t="n">
        <v>8</v>
      </c>
      <c r="C318" s="23" t="inlineStr">
        <is>
          <t>Administration</t>
        </is>
      </c>
      <c r="D318" s="23" t="inlineStr">
        <is>
          <t>Matières &amp; Fournitures</t>
        </is>
      </c>
      <c r="E318" s="21" t="n">
        <v>12000</v>
      </c>
      <c r="F318" s="21" t="n">
        <v>13988</v>
      </c>
      <c r="G318" s="39">
        <f>F318-E318</f>
        <v/>
      </c>
      <c r="H318" s="40">
        <f>IF(E318=0,0,(F318-E318)/E318)</f>
        <v/>
      </c>
      <c r="I318" s="41">
        <f>IF(H318&gt;0.1,"⚠️ Dépassement",IF(H318&lt;-0.1,"✅ Économie","🔵 Normal"))</f>
        <v/>
      </c>
      <c r="J318" s="21">
        <f>SUMPRODUCT((B$3:B318=B318)*(C$3:C318=C318)*(D$3:D318=D318)*E$3:E318)</f>
        <v/>
      </c>
      <c r="K318" s="21">
        <f>SUMPRODUCT((B$3:B318=B318)*(C$3:C318=C318)*(D$3:D318=D318)*F$3:F318)</f>
        <v/>
      </c>
      <c r="L318" s="22">
        <f>IF(J318=0,0,K318/J318)</f>
        <v/>
      </c>
    </row>
    <row r="319">
      <c r="A319" s="37" t="inlineStr">
        <is>
          <t>Août</t>
        </is>
      </c>
      <c r="B319" s="37" t="n">
        <v>8</v>
      </c>
      <c r="C319" s="37" t="inlineStr">
        <is>
          <t>Administration</t>
        </is>
      </c>
      <c r="D319" s="37" t="inlineStr">
        <is>
          <t>Informatique &amp; Licences</t>
        </is>
      </c>
      <c r="E319" s="38" t="n">
        <v>6000</v>
      </c>
      <c r="F319" s="38" t="n">
        <v>6866</v>
      </c>
      <c r="G319" s="39">
        <f>F319-E319</f>
        <v/>
      </c>
      <c r="H319" s="40">
        <f>IF(E319=0,0,(F319-E319)/E319)</f>
        <v/>
      </c>
      <c r="I319" s="41">
        <f>IF(H319&gt;0.1,"⚠️ Dépassement",IF(H319&lt;-0.1,"✅ Économie","🔵 Normal"))</f>
        <v/>
      </c>
      <c r="J319" s="38">
        <f>SUMPRODUCT((B$3:B319=B319)*(C$3:C319=C319)*(D$3:D319=D319)*E$3:E319)</f>
        <v/>
      </c>
      <c r="K319" s="38">
        <f>SUMPRODUCT((B$3:B319=B319)*(C$3:C319=C319)*(D$3:D319=D319)*F$3:F319)</f>
        <v/>
      </c>
      <c r="L319" s="42">
        <f>IF(J319=0,0,K319/J319)</f>
        <v/>
      </c>
    </row>
    <row r="320">
      <c r="A320" s="23" t="inlineStr">
        <is>
          <t>Août</t>
        </is>
      </c>
      <c r="B320" s="23" t="n">
        <v>8</v>
      </c>
      <c r="C320" s="23" t="inlineStr">
        <is>
          <t>Administration</t>
        </is>
      </c>
      <c r="D320" s="23" t="inlineStr">
        <is>
          <t>Déplacements &amp; Missions</t>
        </is>
      </c>
      <c r="E320" s="21" t="n">
        <v>9000</v>
      </c>
      <c r="F320" s="21" t="n">
        <v>8341</v>
      </c>
      <c r="G320" s="39">
        <f>F320-E320</f>
        <v/>
      </c>
      <c r="H320" s="40">
        <f>IF(E320=0,0,(F320-E320)/E320)</f>
        <v/>
      </c>
      <c r="I320" s="41">
        <f>IF(H320&gt;0.1,"⚠️ Dépassement",IF(H320&lt;-0.1,"✅ Économie","🔵 Normal"))</f>
        <v/>
      </c>
      <c r="J320" s="21">
        <f>SUMPRODUCT((B$3:B320=B320)*(C$3:C320=C320)*(D$3:D320=D320)*E$3:E320)</f>
        <v/>
      </c>
      <c r="K320" s="21">
        <f>SUMPRODUCT((B$3:B320=B320)*(C$3:C320=C320)*(D$3:D320=D320)*F$3:F320)</f>
        <v/>
      </c>
      <c r="L320" s="22">
        <f>IF(J320=0,0,K320/J320)</f>
        <v/>
      </c>
    </row>
    <row r="321">
      <c r="A321" s="37" t="inlineStr">
        <is>
          <t>Août</t>
        </is>
      </c>
      <c r="B321" s="37" t="n">
        <v>8</v>
      </c>
      <c r="C321" s="37" t="inlineStr">
        <is>
          <t>Administration</t>
        </is>
      </c>
      <c r="D321" s="37" t="inlineStr">
        <is>
          <t>Formation</t>
        </is>
      </c>
      <c r="E321" s="38" t="n">
        <v>5000</v>
      </c>
      <c r="F321" s="38" t="n">
        <v>1635</v>
      </c>
      <c r="G321" s="39">
        <f>F321-E321</f>
        <v/>
      </c>
      <c r="H321" s="40">
        <f>IF(E321=0,0,(F321-E321)/E321)</f>
        <v/>
      </c>
      <c r="I321" s="41">
        <f>IF(H321&gt;0.1,"⚠️ Dépassement",IF(H321&lt;-0.1,"✅ Économie","🔵 Normal"))</f>
        <v/>
      </c>
      <c r="J321" s="38">
        <f>SUMPRODUCT((B$3:B321=B321)*(C$3:C321=C321)*(D$3:D321=D321)*E$3:E321)</f>
        <v/>
      </c>
      <c r="K321" s="38">
        <f>SUMPRODUCT((B$3:B321=B321)*(C$3:C321=C321)*(D$3:D321=D321)*F$3:F321)</f>
        <v/>
      </c>
      <c r="L321" s="42">
        <f>IF(J321=0,0,K321/J321)</f>
        <v/>
      </c>
    </row>
    <row r="322">
      <c r="A322" s="23" t="inlineStr">
        <is>
          <t>Août</t>
        </is>
      </c>
      <c r="B322" s="23" t="n">
        <v>8</v>
      </c>
      <c r="C322" s="23" t="inlineStr">
        <is>
          <t>Administration</t>
        </is>
      </c>
      <c r="D322" s="23" t="inlineStr">
        <is>
          <t>Publicité &amp; Communication</t>
        </is>
      </c>
      <c r="E322" s="21" t="n">
        <v>2000</v>
      </c>
      <c r="F322" s="21" t="n">
        <v>2338</v>
      </c>
      <c r="G322" s="39">
        <f>F322-E322</f>
        <v/>
      </c>
      <c r="H322" s="40">
        <f>IF(E322=0,0,(F322-E322)/E322)</f>
        <v/>
      </c>
      <c r="I322" s="41">
        <f>IF(H322&gt;0.1,"⚠️ Dépassement",IF(H322&lt;-0.1,"✅ Économie","🔵 Normal"))</f>
        <v/>
      </c>
      <c r="J322" s="21">
        <f>SUMPRODUCT((B$3:B322=B322)*(C$3:C322=C322)*(D$3:D322=D322)*E$3:E322)</f>
        <v/>
      </c>
      <c r="K322" s="21">
        <f>SUMPRODUCT((B$3:B322=B322)*(C$3:C322=C322)*(D$3:D322=D322)*F$3:F322)</f>
        <v/>
      </c>
      <c r="L322" s="22">
        <f>IF(J322=0,0,K322/J322)</f>
        <v/>
      </c>
    </row>
    <row r="323">
      <c r="A323" s="37" t="inlineStr">
        <is>
          <t>Septembre</t>
        </is>
      </c>
      <c r="B323" s="37" t="n">
        <v>9</v>
      </c>
      <c r="C323" s="37" t="inlineStr">
        <is>
          <t>RH</t>
        </is>
      </c>
      <c r="D323" s="37" t="inlineStr">
        <is>
          <t>Salaires</t>
        </is>
      </c>
      <c r="E323" s="38" t="n">
        <v>180000</v>
      </c>
      <c r="F323" s="38" t="n">
        <v>209419</v>
      </c>
      <c r="G323" s="39">
        <f>F323-E323</f>
        <v/>
      </c>
      <c r="H323" s="40">
        <f>IF(E323=0,0,(F323-E323)/E323)</f>
        <v/>
      </c>
      <c r="I323" s="41">
        <f>IF(H323&gt;0.1,"⚠️ Dépassement",IF(H323&lt;-0.1,"✅ Économie","🔵 Normal"))</f>
        <v/>
      </c>
      <c r="J323" s="38">
        <f>SUMPRODUCT((B$3:B323=B323)*(C$3:C323=C323)*(D$3:D323=D323)*E$3:E323)</f>
        <v/>
      </c>
      <c r="K323" s="38">
        <f>SUMPRODUCT((B$3:B323=B323)*(C$3:C323=C323)*(D$3:D323=D323)*F$3:F323)</f>
        <v/>
      </c>
      <c r="L323" s="42">
        <f>IF(J323=0,0,K323/J323)</f>
        <v/>
      </c>
    </row>
    <row r="324">
      <c r="A324" s="23" t="inlineStr">
        <is>
          <t>Septembre</t>
        </is>
      </c>
      <c r="B324" s="23" t="n">
        <v>9</v>
      </c>
      <c r="C324" s="23" t="inlineStr">
        <is>
          <t>RH</t>
        </is>
      </c>
      <c r="D324" s="23" t="inlineStr">
        <is>
          <t>Charges sociales</t>
        </is>
      </c>
      <c r="E324" s="21" t="n">
        <v>54000</v>
      </c>
      <c r="F324" s="21" t="n">
        <v>49085</v>
      </c>
      <c r="G324" s="39">
        <f>F324-E324</f>
        <v/>
      </c>
      <c r="H324" s="40">
        <f>IF(E324=0,0,(F324-E324)/E324)</f>
        <v/>
      </c>
      <c r="I324" s="41">
        <f>IF(H324&gt;0.1,"⚠️ Dépassement",IF(H324&lt;-0.1,"✅ Économie","🔵 Normal"))</f>
        <v/>
      </c>
      <c r="J324" s="21">
        <f>SUMPRODUCT((B$3:B324=B324)*(C$3:C324=C324)*(D$3:D324=D324)*E$3:E324)</f>
        <v/>
      </c>
      <c r="K324" s="21">
        <f>SUMPRODUCT((B$3:B324=B324)*(C$3:C324=C324)*(D$3:D324=D324)*F$3:F324)</f>
        <v/>
      </c>
      <c r="L324" s="22">
        <f>IF(J324=0,0,K324/J324)</f>
        <v/>
      </c>
    </row>
    <row r="325">
      <c r="A325" s="37" t="inlineStr">
        <is>
          <t>Septembre</t>
        </is>
      </c>
      <c r="B325" s="37" t="n">
        <v>9</v>
      </c>
      <c r="C325" s="37" t="inlineStr">
        <is>
          <t>RH</t>
        </is>
      </c>
      <c r="D325" s="37" t="inlineStr">
        <is>
          <t>Loyer &amp; Charges</t>
        </is>
      </c>
      <c r="E325" s="38" t="n">
        <v>15000</v>
      </c>
      <c r="F325" s="38" t="n">
        <v>17200</v>
      </c>
      <c r="G325" s="39">
        <f>F325-E325</f>
        <v/>
      </c>
      <c r="H325" s="40">
        <f>IF(E325=0,0,(F325-E325)/E325)</f>
        <v/>
      </c>
      <c r="I325" s="41">
        <f>IF(H325&gt;0.1,"⚠️ Dépassement",IF(H325&lt;-0.1,"✅ Économie","🔵 Normal"))</f>
        <v/>
      </c>
      <c r="J325" s="38">
        <f>SUMPRODUCT((B$3:B325=B325)*(C$3:C325=C325)*(D$3:D325=D325)*E$3:E325)</f>
        <v/>
      </c>
      <c r="K325" s="38">
        <f>SUMPRODUCT((B$3:B325=B325)*(C$3:C325=C325)*(D$3:D325=D325)*F$3:F325)</f>
        <v/>
      </c>
      <c r="L325" s="42">
        <f>IF(J325=0,0,K325/J325)</f>
        <v/>
      </c>
    </row>
    <row r="326">
      <c r="A326" s="23" t="inlineStr">
        <is>
          <t>Septembre</t>
        </is>
      </c>
      <c r="B326" s="23" t="n">
        <v>9</v>
      </c>
      <c r="C326" s="23" t="inlineStr">
        <is>
          <t>RH</t>
        </is>
      </c>
      <c r="D326" s="23" t="inlineStr">
        <is>
          <t>Matières &amp; Fournitures</t>
        </is>
      </c>
      <c r="E326" s="21" t="n">
        <v>8000</v>
      </c>
      <c r="F326" s="21" t="n">
        <v>8033</v>
      </c>
      <c r="G326" s="39">
        <f>F326-E326</f>
        <v/>
      </c>
      <c r="H326" s="40">
        <f>IF(E326=0,0,(F326-E326)/E326)</f>
        <v/>
      </c>
      <c r="I326" s="41">
        <f>IF(H326&gt;0.1,"⚠️ Dépassement",IF(H326&lt;-0.1,"✅ Économie","🔵 Normal"))</f>
        <v/>
      </c>
      <c r="J326" s="21">
        <f>SUMPRODUCT((B$3:B326=B326)*(C$3:C326=C326)*(D$3:D326=D326)*E$3:E326)</f>
        <v/>
      </c>
      <c r="K326" s="21">
        <f>SUMPRODUCT((B$3:B326=B326)*(C$3:C326=C326)*(D$3:D326=D326)*F$3:F326)</f>
        <v/>
      </c>
      <c r="L326" s="22">
        <f>IF(J326=0,0,K326/J326)</f>
        <v/>
      </c>
    </row>
    <row r="327">
      <c r="A327" s="37" t="inlineStr">
        <is>
          <t>Septembre</t>
        </is>
      </c>
      <c r="B327" s="37" t="n">
        <v>9</v>
      </c>
      <c r="C327" s="37" t="inlineStr">
        <is>
          <t>RH</t>
        </is>
      </c>
      <c r="D327" s="37" t="inlineStr">
        <is>
          <t>Informatique &amp; Licences</t>
        </is>
      </c>
      <c r="E327" s="38" t="n">
        <v>5000</v>
      </c>
      <c r="F327" s="38" t="n">
        <v>4710</v>
      </c>
      <c r="G327" s="39">
        <f>F327-E327</f>
        <v/>
      </c>
      <c r="H327" s="40">
        <f>IF(E327=0,0,(F327-E327)/E327)</f>
        <v/>
      </c>
      <c r="I327" s="41">
        <f>IF(H327&gt;0.1,"⚠️ Dépassement",IF(H327&lt;-0.1,"✅ Économie","🔵 Normal"))</f>
        <v/>
      </c>
      <c r="J327" s="38">
        <f>SUMPRODUCT((B$3:B327=B327)*(C$3:C327=C327)*(D$3:D327=D327)*E$3:E327)</f>
        <v/>
      </c>
      <c r="K327" s="38">
        <f>SUMPRODUCT((B$3:B327=B327)*(C$3:C327=C327)*(D$3:D327=D327)*F$3:F327)</f>
        <v/>
      </c>
      <c r="L327" s="42">
        <f>IF(J327=0,0,K327/J327)</f>
        <v/>
      </c>
    </row>
    <row r="328">
      <c r="A328" s="23" t="inlineStr">
        <is>
          <t>Septembre</t>
        </is>
      </c>
      <c r="B328" s="23" t="n">
        <v>9</v>
      </c>
      <c r="C328" s="23" t="inlineStr">
        <is>
          <t>RH</t>
        </is>
      </c>
      <c r="D328" s="23" t="inlineStr">
        <is>
          <t>Déplacements &amp; Missions</t>
        </is>
      </c>
      <c r="E328" s="21" t="n">
        <v>7000</v>
      </c>
      <c r="F328" s="21" t="n">
        <v>7967</v>
      </c>
      <c r="G328" s="39">
        <f>F328-E328</f>
        <v/>
      </c>
      <c r="H328" s="40">
        <f>IF(E328=0,0,(F328-E328)/E328)</f>
        <v/>
      </c>
      <c r="I328" s="41">
        <f>IF(H328&gt;0.1,"⚠️ Dépassement",IF(H328&lt;-0.1,"✅ Économie","🔵 Normal"))</f>
        <v/>
      </c>
      <c r="J328" s="21">
        <f>SUMPRODUCT((B$3:B328=B328)*(C$3:C328=C328)*(D$3:D328=D328)*E$3:E328)</f>
        <v/>
      </c>
      <c r="K328" s="21">
        <f>SUMPRODUCT((B$3:B328=B328)*(C$3:C328=C328)*(D$3:D328=D328)*F$3:F328)</f>
        <v/>
      </c>
      <c r="L328" s="22">
        <f>IF(J328=0,0,K328/J328)</f>
        <v/>
      </c>
    </row>
    <row r="329">
      <c r="A329" s="37" t="inlineStr">
        <is>
          <t>Septembre</t>
        </is>
      </c>
      <c r="B329" s="37" t="n">
        <v>9</v>
      </c>
      <c r="C329" s="37" t="inlineStr">
        <is>
          <t>RH</t>
        </is>
      </c>
      <c r="D329" s="37" t="inlineStr">
        <is>
          <t>Formation</t>
        </is>
      </c>
      <c r="E329" s="38" t="n">
        <v>20000</v>
      </c>
      <c r="F329" s="38" t="n">
        <v>18221</v>
      </c>
      <c r="G329" s="39">
        <f>F329-E329</f>
        <v/>
      </c>
      <c r="H329" s="40">
        <f>IF(E329=0,0,(F329-E329)/E329)</f>
        <v/>
      </c>
      <c r="I329" s="41">
        <f>IF(H329&gt;0.1,"⚠️ Dépassement",IF(H329&lt;-0.1,"✅ Économie","🔵 Normal"))</f>
        <v/>
      </c>
      <c r="J329" s="38">
        <f>SUMPRODUCT((B$3:B329=B329)*(C$3:C329=C329)*(D$3:D329=D329)*E$3:E329)</f>
        <v/>
      </c>
      <c r="K329" s="38">
        <f>SUMPRODUCT((B$3:B329=B329)*(C$3:C329=C329)*(D$3:D329=D329)*F$3:F329)</f>
        <v/>
      </c>
      <c r="L329" s="42">
        <f>IF(J329=0,0,K329/J329)</f>
        <v/>
      </c>
    </row>
    <row r="330">
      <c r="A330" s="23" t="inlineStr">
        <is>
          <t>Septembre</t>
        </is>
      </c>
      <c r="B330" s="23" t="n">
        <v>9</v>
      </c>
      <c r="C330" s="23" t="inlineStr">
        <is>
          <t>RH</t>
        </is>
      </c>
      <c r="D330" s="23" t="inlineStr">
        <is>
          <t>Publicité &amp; Communication</t>
        </is>
      </c>
      <c r="E330" s="21" t="n">
        <v>3000</v>
      </c>
      <c r="F330" s="21" t="n">
        <v>2488</v>
      </c>
      <c r="G330" s="39">
        <f>F330-E330</f>
        <v/>
      </c>
      <c r="H330" s="40">
        <f>IF(E330=0,0,(F330-E330)/E330)</f>
        <v/>
      </c>
      <c r="I330" s="41">
        <f>IF(H330&gt;0.1,"⚠️ Dépassement",IF(H330&lt;-0.1,"✅ Économie","🔵 Normal"))</f>
        <v/>
      </c>
      <c r="J330" s="21">
        <f>SUMPRODUCT((B$3:B330=B330)*(C$3:C330=C330)*(D$3:D330=D330)*E$3:E330)</f>
        <v/>
      </c>
      <c r="K330" s="21">
        <f>SUMPRODUCT((B$3:B330=B330)*(C$3:C330=C330)*(D$3:D330=D330)*F$3:F330)</f>
        <v/>
      </c>
      <c r="L330" s="22">
        <f>IF(J330=0,0,K330/J330)</f>
        <v/>
      </c>
    </row>
    <row r="331">
      <c r="A331" s="37" t="inlineStr">
        <is>
          <t>Septembre</t>
        </is>
      </c>
      <c r="B331" s="37" t="n">
        <v>9</v>
      </c>
      <c r="C331" s="37" t="inlineStr">
        <is>
          <t>Marketing</t>
        </is>
      </c>
      <c r="D331" s="37" t="inlineStr">
        <is>
          <t>Salaires</t>
        </is>
      </c>
      <c r="E331" s="38" t="n">
        <v>95000</v>
      </c>
      <c r="F331" s="38" t="n">
        <v>85239</v>
      </c>
      <c r="G331" s="39">
        <f>F331-E331</f>
        <v/>
      </c>
      <c r="H331" s="40">
        <f>IF(E331=0,0,(F331-E331)/E331)</f>
        <v/>
      </c>
      <c r="I331" s="41">
        <f>IF(H331&gt;0.1,"⚠️ Dépassement",IF(H331&lt;-0.1,"✅ Économie","🔵 Normal"))</f>
        <v/>
      </c>
      <c r="J331" s="38">
        <f>SUMPRODUCT((B$3:B331=B331)*(C$3:C331=C331)*(D$3:D331=D331)*E$3:E331)</f>
        <v/>
      </c>
      <c r="K331" s="38">
        <f>SUMPRODUCT((B$3:B331=B331)*(C$3:C331=C331)*(D$3:D331=D331)*F$3:F331)</f>
        <v/>
      </c>
      <c r="L331" s="42">
        <f>IF(J331=0,0,K331/J331)</f>
        <v/>
      </c>
    </row>
    <row r="332">
      <c r="A332" s="23" t="inlineStr">
        <is>
          <t>Septembre</t>
        </is>
      </c>
      <c r="B332" s="23" t="n">
        <v>9</v>
      </c>
      <c r="C332" s="23" t="inlineStr">
        <is>
          <t>Marketing</t>
        </is>
      </c>
      <c r="D332" s="23" t="inlineStr">
        <is>
          <t>Charges sociales</t>
        </is>
      </c>
      <c r="E332" s="21" t="n">
        <v>28500</v>
      </c>
      <c r="F332" s="21" t="n">
        <v>27112</v>
      </c>
      <c r="G332" s="39">
        <f>F332-E332</f>
        <v/>
      </c>
      <c r="H332" s="40">
        <f>IF(E332=0,0,(F332-E332)/E332)</f>
        <v/>
      </c>
      <c r="I332" s="41">
        <f>IF(H332&gt;0.1,"⚠️ Dépassement",IF(H332&lt;-0.1,"✅ Économie","🔵 Normal"))</f>
        <v/>
      </c>
      <c r="J332" s="21">
        <f>SUMPRODUCT((B$3:B332=B332)*(C$3:C332=C332)*(D$3:D332=D332)*E$3:E332)</f>
        <v/>
      </c>
      <c r="K332" s="21">
        <f>SUMPRODUCT((B$3:B332=B332)*(C$3:C332=C332)*(D$3:D332=D332)*F$3:F332)</f>
        <v/>
      </c>
      <c r="L332" s="22">
        <f>IF(J332=0,0,K332/J332)</f>
        <v/>
      </c>
    </row>
    <row r="333">
      <c r="A333" s="37" t="inlineStr">
        <is>
          <t>Septembre</t>
        </is>
      </c>
      <c r="B333" s="37" t="n">
        <v>9</v>
      </c>
      <c r="C333" s="37" t="inlineStr">
        <is>
          <t>Marketing</t>
        </is>
      </c>
      <c r="D333" s="37" t="inlineStr">
        <is>
          <t>Loyer &amp; Charges</t>
        </is>
      </c>
      <c r="E333" s="38" t="n">
        <v>12000</v>
      </c>
      <c r="F333" s="38" t="n">
        <v>13989</v>
      </c>
      <c r="G333" s="39">
        <f>F333-E333</f>
        <v/>
      </c>
      <c r="H333" s="40">
        <f>IF(E333=0,0,(F333-E333)/E333)</f>
        <v/>
      </c>
      <c r="I333" s="41">
        <f>IF(H333&gt;0.1,"⚠️ Dépassement",IF(H333&lt;-0.1,"✅ Économie","🔵 Normal"))</f>
        <v/>
      </c>
      <c r="J333" s="38">
        <f>SUMPRODUCT((B$3:B333=B333)*(C$3:C333=C333)*(D$3:D333=D333)*E$3:E333)</f>
        <v/>
      </c>
      <c r="K333" s="38">
        <f>SUMPRODUCT((B$3:B333=B333)*(C$3:C333=C333)*(D$3:D333=D333)*F$3:F333)</f>
        <v/>
      </c>
      <c r="L333" s="42">
        <f>IF(J333=0,0,K333/J333)</f>
        <v/>
      </c>
    </row>
    <row r="334">
      <c r="A334" s="23" t="inlineStr">
        <is>
          <t>Septembre</t>
        </is>
      </c>
      <c r="B334" s="23" t="n">
        <v>9</v>
      </c>
      <c r="C334" s="23" t="inlineStr">
        <is>
          <t>Marketing</t>
        </is>
      </c>
      <c r="D334" s="23" t="inlineStr">
        <is>
          <t>Matières &amp; Fournitures</t>
        </is>
      </c>
      <c r="E334" s="21" t="n">
        <v>6000</v>
      </c>
      <c r="F334" s="21" t="n">
        <v>7241</v>
      </c>
      <c r="G334" s="39">
        <f>F334-E334</f>
        <v/>
      </c>
      <c r="H334" s="40">
        <f>IF(E334=0,0,(F334-E334)/E334)</f>
        <v/>
      </c>
      <c r="I334" s="41">
        <f>IF(H334&gt;0.1,"⚠️ Dépassement",IF(H334&lt;-0.1,"✅ Économie","🔵 Normal"))</f>
        <v/>
      </c>
      <c r="J334" s="21">
        <f>SUMPRODUCT((B$3:B334=B334)*(C$3:C334=C334)*(D$3:D334=D334)*E$3:E334)</f>
        <v/>
      </c>
      <c r="K334" s="21">
        <f>SUMPRODUCT((B$3:B334=B334)*(C$3:C334=C334)*(D$3:D334=D334)*F$3:F334)</f>
        <v/>
      </c>
      <c r="L334" s="22">
        <f>IF(J334=0,0,K334/J334)</f>
        <v/>
      </c>
    </row>
    <row r="335">
      <c r="A335" s="37" t="inlineStr">
        <is>
          <t>Septembre</t>
        </is>
      </c>
      <c r="B335" s="37" t="n">
        <v>9</v>
      </c>
      <c r="C335" s="37" t="inlineStr">
        <is>
          <t>Marketing</t>
        </is>
      </c>
      <c r="D335" s="37" t="inlineStr">
        <is>
          <t>Informatique &amp; Licences</t>
        </is>
      </c>
      <c r="E335" s="38" t="n">
        <v>8000</v>
      </c>
      <c r="F335" s="38" t="n">
        <v>7453</v>
      </c>
      <c r="G335" s="39">
        <f>F335-E335</f>
        <v/>
      </c>
      <c r="H335" s="40">
        <f>IF(E335=0,0,(F335-E335)/E335)</f>
        <v/>
      </c>
      <c r="I335" s="41">
        <f>IF(H335&gt;0.1,"⚠️ Dépassement",IF(H335&lt;-0.1,"✅ Économie","🔵 Normal"))</f>
        <v/>
      </c>
      <c r="J335" s="38">
        <f>SUMPRODUCT((B$3:B335=B335)*(C$3:C335=C335)*(D$3:D335=D335)*E$3:E335)</f>
        <v/>
      </c>
      <c r="K335" s="38">
        <f>SUMPRODUCT((B$3:B335=B335)*(C$3:C335=C335)*(D$3:D335=D335)*F$3:F335)</f>
        <v/>
      </c>
      <c r="L335" s="42">
        <f>IF(J335=0,0,K335/J335)</f>
        <v/>
      </c>
    </row>
    <row r="336">
      <c r="A336" s="23" t="inlineStr">
        <is>
          <t>Septembre</t>
        </is>
      </c>
      <c r="B336" s="23" t="n">
        <v>9</v>
      </c>
      <c r="C336" s="23" t="inlineStr">
        <is>
          <t>Marketing</t>
        </is>
      </c>
      <c r="D336" s="23" t="inlineStr">
        <is>
          <t>Déplacements &amp; Missions</t>
        </is>
      </c>
      <c r="E336" s="21" t="n">
        <v>15000</v>
      </c>
      <c r="F336" s="21" t="n">
        <v>16149</v>
      </c>
      <c r="G336" s="39">
        <f>F336-E336</f>
        <v/>
      </c>
      <c r="H336" s="40">
        <f>IF(E336=0,0,(F336-E336)/E336)</f>
        <v/>
      </c>
      <c r="I336" s="41">
        <f>IF(H336&gt;0.1,"⚠️ Dépassement",IF(H336&lt;-0.1,"✅ Économie","🔵 Normal"))</f>
        <v/>
      </c>
      <c r="J336" s="21">
        <f>SUMPRODUCT((B$3:B336=B336)*(C$3:C336=C336)*(D$3:D336=D336)*E$3:E336)</f>
        <v/>
      </c>
      <c r="K336" s="21">
        <f>SUMPRODUCT((B$3:B336=B336)*(C$3:C336=C336)*(D$3:D336=D336)*F$3:F336)</f>
        <v/>
      </c>
      <c r="L336" s="22">
        <f>IF(J336=0,0,K336/J336)</f>
        <v/>
      </c>
    </row>
    <row r="337">
      <c r="A337" s="37" t="inlineStr">
        <is>
          <t>Septembre</t>
        </is>
      </c>
      <c r="B337" s="37" t="n">
        <v>9</v>
      </c>
      <c r="C337" s="37" t="inlineStr">
        <is>
          <t>Marketing</t>
        </is>
      </c>
      <c r="D337" s="37" t="inlineStr">
        <is>
          <t>Formation</t>
        </is>
      </c>
      <c r="E337" s="38" t="n">
        <v>8000</v>
      </c>
      <c r="F337" s="38" t="n">
        <v>7839</v>
      </c>
      <c r="G337" s="39">
        <f>F337-E337</f>
        <v/>
      </c>
      <c r="H337" s="40">
        <f>IF(E337=0,0,(F337-E337)/E337)</f>
        <v/>
      </c>
      <c r="I337" s="41">
        <f>IF(H337&gt;0.1,"⚠️ Dépassement",IF(H337&lt;-0.1,"✅ Économie","🔵 Normal"))</f>
        <v/>
      </c>
      <c r="J337" s="38">
        <f>SUMPRODUCT((B$3:B337=B337)*(C$3:C337=C337)*(D$3:D337=D337)*E$3:E337)</f>
        <v/>
      </c>
      <c r="K337" s="38">
        <f>SUMPRODUCT((B$3:B337=B337)*(C$3:C337=C337)*(D$3:D337=D337)*F$3:F337)</f>
        <v/>
      </c>
      <c r="L337" s="42">
        <f>IF(J337=0,0,K337/J337)</f>
        <v/>
      </c>
    </row>
    <row r="338">
      <c r="A338" s="23" t="inlineStr">
        <is>
          <t>Septembre</t>
        </is>
      </c>
      <c r="B338" s="23" t="n">
        <v>9</v>
      </c>
      <c r="C338" s="23" t="inlineStr">
        <is>
          <t>Marketing</t>
        </is>
      </c>
      <c r="D338" s="23" t="inlineStr">
        <is>
          <t>Publicité &amp; Communication</t>
        </is>
      </c>
      <c r="E338" s="21" t="n">
        <v>45000</v>
      </c>
      <c r="F338" s="21" t="n">
        <v>54561</v>
      </c>
      <c r="G338" s="39">
        <f>F338-E338</f>
        <v/>
      </c>
      <c r="H338" s="40">
        <f>IF(E338=0,0,(F338-E338)/E338)</f>
        <v/>
      </c>
      <c r="I338" s="41">
        <f>IF(H338&gt;0.1,"⚠️ Dépassement",IF(H338&lt;-0.1,"✅ Économie","🔵 Normal"))</f>
        <v/>
      </c>
      <c r="J338" s="21">
        <f>SUMPRODUCT((B$3:B338=B338)*(C$3:C338=C338)*(D$3:D338=D338)*E$3:E338)</f>
        <v/>
      </c>
      <c r="K338" s="21">
        <f>SUMPRODUCT((B$3:B338=B338)*(C$3:C338=C338)*(D$3:D338=D338)*F$3:F338)</f>
        <v/>
      </c>
      <c r="L338" s="22">
        <f>IF(J338=0,0,K338/J338)</f>
        <v/>
      </c>
    </row>
    <row r="339">
      <c r="A339" s="37" t="inlineStr">
        <is>
          <t>Septembre</t>
        </is>
      </c>
      <c r="B339" s="37" t="n">
        <v>9</v>
      </c>
      <c r="C339" s="37" t="inlineStr">
        <is>
          <t>Production</t>
        </is>
      </c>
      <c r="D339" s="37" t="inlineStr">
        <is>
          <t>Salaires</t>
        </is>
      </c>
      <c r="E339" s="38" t="n">
        <v>220000</v>
      </c>
      <c r="F339" s="38" t="n">
        <v>227587</v>
      </c>
      <c r="G339" s="39">
        <f>F339-E339</f>
        <v/>
      </c>
      <c r="H339" s="40">
        <f>IF(E339=0,0,(F339-E339)/E339)</f>
        <v/>
      </c>
      <c r="I339" s="41">
        <f>IF(H339&gt;0.1,"⚠️ Dépassement",IF(H339&lt;-0.1,"✅ Économie","🔵 Normal"))</f>
        <v/>
      </c>
      <c r="J339" s="38">
        <f>SUMPRODUCT((B$3:B339=B339)*(C$3:C339=C339)*(D$3:D339=D339)*E$3:E339)</f>
        <v/>
      </c>
      <c r="K339" s="38">
        <f>SUMPRODUCT((B$3:B339=B339)*(C$3:C339=C339)*(D$3:D339=D339)*F$3:F339)</f>
        <v/>
      </c>
      <c r="L339" s="42">
        <f>IF(J339=0,0,K339/J339)</f>
        <v/>
      </c>
    </row>
    <row r="340">
      <c r="A340" s="23" t="inlineStr">
        <is>
          <t>Septembre</t>
        </is>
      </c>
      <c r="B340" s="23" t="n">
        <v>9</v>
      </c>
      <c r="C340" s="23" t="inlineStr">
        <is>
          <t>Production</t>
        </is>
      </c>
      <c r="D340" s="23" t="inlineStr">
        <is>
          <t>Charges sociales</t>
        </is>
      </c>
      <c r="E340" s="21" t="n">
        <v>66000</v>
      </c>
      <c r="F340" s="21" t="n">
        <v>78916</v>
      </c>
      <c r="G340" s="39">
        <f>F340-E340</f>
        <v/>
      </c>
      <c r="H340" s="40">
        <f>IF(E340=0,0,(F340-E340)/E340)</f>
        <v/>
      </c>
      <c r="I340" s="41">
        <f>IF(H340&gt;0.1,"⚠️ Dépassement",IF(H340&lt;-0.1,"✅ Économie","🔵 Normal"))</f>
        <v/>
      </c>
      <c r="J340" s="21">
        <f>SUMPRODUCT((B$3:B340=B340)*(C$3:C340=C340)*(D$3:D340=D340)*E$3:E340)</f>
        <v/>
      </c>
      <c r="K340" s="21">
        <f>SUMPRODUCT((B$3:B340=B340)*(C$3:C340=C340)*(D$3:D340=D340)*F$3:F340)</f>
        <v/>
      </c>
      <c r="L340" s="22">
        <f>IF(J340=0,0,K340/J340)</f>
        <v/>
      </c>
    </row>
    <row r="341">
      <c r="A341" s="37" t="inlineStr">
        <is>
          <t>Septembre</t>
        </is>
      </c>
      <c r="B341" s="37" t="n">
        <v>9</v>
      </c>
      <c r="C341" s="37" t="inlineStr">
        <is>
          <t>Production</t>
        </is>
      </c>
      <c r="D341" s="37" t="inlineStr">
        <is>
          <t>Loyer &amp; Charges</t>
        </is>
      </c>
      <c r="E341" s="38" t="n">
        <v>35000</v>
      </c>
      <c r="F341" s="38" t="n">
        <v>30315</v>
      </c>
      <c r="G341" s="39">
        <f>F341-E341</f>
        <v/>
      </c>
      <c r="H341" s="40">
        <f>IF(E341=0,0,(F341-E341)/E341)</f>
        <v/>
      </c>
      <c r="I341" s="41">
        <f>IF(H341&gt;0.1,"⚠️ Dépassement",IF(H341&lt;-0.1,"✅ Économie","🔵 Normal"))</f>
        <v/>
      </c>
      <c r="J341" s="38">
        <f>SUMPRODUCT((B$3:B341=B341)*(C$3:C341=C341)*(D$3:D341=D341)*E$3:E341)</f>
        <v/>
      </c>
      <c r="K341" s="38">
        <f>SUMPRODUCT((B$3:B341=B341)*(C$3:C341=C341)*(D$3:D341=D341)*F$3:F341)</f>
        <v/>
      </c>
      <c r="L341" s="42">
        <f>IF(J341=0,0,K341/J341)</f>
        <v/>
      </c>
    </row>
    <row r="342">
      <c r="A342" s="23" t="inlineStr">
        <is>
          <t>Septembre</t>
        </is>
      </c>
      <c r="B342" s="23" t="n">
        <v>9</v>
      </c>
      <c r="C342" s="23" t="inlineStr">
        <is>
          <t>Production</t>
        </is>
      </c>
      <c r="D342" s="23" t="inlineStr">
        <is>
          <t>Matières &amp; Fournitures</t>
        </is>
      </c>
      <c r="E342" s="21" t="n">
        <v>85000</v>
      </c>
      <c r="F342" s="21" t="n">
        <v>102694</v>
      </c>
      <c r="G342" s="39">
        <f>F342-E342</f>
        <v/>
      </c>
      <c r="H342" s="40">
        <f>IF(E342=0,0,(F342-E342)/E342)</f>
        <v/>
      </c>
      <c r="I342" s="41">
        <f>IF(H342&gt;0.1,"⚠️ Dépassement",IF(H342&lt;-0.1,"✅ Économie","🔵 Normal"))</f>
        <v/>
      </c>
      <c r="J342" s="21">
        <f>SUMPRODUCT((B$3:B342=B342)*(C$3:C342=C342)*(D$3:D342=D342)*E$3:E342)</f>
        <v/>
      </c>
      <c r="K342" s="21">
        <f>SUMPRODUCT((B$3:B342=B342)*(C$3:C342=C342)*(D$3:D342=D342)*F$3:F342)</f>
        <v/>
      </c>
      <c r="L342" s="22">
        <f>IF(J342=0,0,K342/J342)</f>
        <v/>
      </c>
    </row>
    <row r="343">
      <c r="A343" s="37" t="inlineStr">
        <is>
          <t>Septembre</t>
        </is>
      </c>
      <c r="B343" s="37" t="n">
        <v>9</v>
      </c>
      <c r="C343" s="37" t="inlineStr">
        <is>
          <t>Production</t>
        </is>
      </c>
      <c r="D343" s="37" t="inlineStr">
        <is>
          <t>Informatique &amp; Licences</t>
        </is>
      </c>
      <c r="E343" s="38" t="n">
        <v>12000</v>
      </c>
      <c r="F343" s="38" t="n">
        <v>10697</v>
      </c>
      <c r="G343" s="39">
        <f>F343-E343</f>
        <v/>
      </c>
      <c r="H343" s="40">
        <f>IF(E343=0,0,(F343-E343)/E343)</f>
        <v/>
      </c>
      <c r="I343" s="41">
        <f>IF(H343&gt;0.1,"⚠️ Dépassement",IF(H343&lt;-0.1,"✅ Économie","🔵 Normal"))</f>
        <v/>
      </c>
      <c r="J343" s="38">
        <f>SUMPRODUCT((B$3:B343=B343)*(C$3:C343=C343)*(D$3:D343=D343)*E$3:E343)</f>
        <v/>
      </c>
      <c r="K343" s="38">
        <f>SUMPRODUCT((B$3:B343=B343)*(C$3:C343=C343)*(D$3:D343=D343)*F$3:F343)</f>
        <v/>
      </c>
      <c r="L343" s="42">
        <f>IF(J343=0,0,K343/J343)</f>
        <v/>
      </c>
    </row>
    <row r="344">
      <c r="A344" s="23" t="inlineStr">
        <is>
          <t>Septembre</t>
        </is>
      </c>
      <c r="B344" s="23" t="n">
        <v>9</v>
      </c>
      <c r="C344" s="23" t="inlineStr">
        <is>
          <t>Production</t>
        </is>
      </c>
      <c r="D344" s="23" t="inlineStr">
        <is>
          <t>Déplacements &amp; Missions</t>
        </is>
      </c>
      <c r="E344" s="21" t="n">
        <v>10000</v>
      </c>
      <c r="F344" s="21" t="n">
        <v>12050</v>
      </c>
      <c r="G344" s="39">
        <f>F344-E344</f>
        <v/>
      </c>
      <c r="H344" s="40">
        <f>IF(E344=0,0,(F344-E344)/E344)</f>
        <v/>
      </c>
      <c r="I344" s="41">
        <f>IF(H344&gt;0.1,"⚠️ Dépassement",IF(H344&lt;-0.1,"✅ Économie","🔵 Normal"))</f>
        <v/>
      </c>
      <c r="J344" s="21">
        <f>SUMPRODUCT((B$3:B344=B344)*(C$3:C344=C344)*(D$3:D344=D344)*E$3:E344)</f>
        <v/>
      </c>
      <c r="K344" s="21">
        <f>SUMPRODUCT((B$3:B344=B344)*(C$3:C344=C344)*(D$3:D344=D344)*F$3:F344)</f>
        <v/>
      </c>
      <c r="L344" s="22">
        <f>IF(J344=0,0,K344/J344)</f>
        <v/>
      </c>
    </row>
    <row r="345">
      <c r="A345" s="37" t="inlineStr">
        <is>
          <t>Septembre</t>
        </is>
      </c>
      <c r="B345" s="37" t="n">
        <v>9</v>
      </c>
      <c r="C345" s="37" t="inlineStr">
        <is>
          <t>Production</t>
        </is>
      </c>
      <c r="D345" s="37" t="inlineStr">
        <is>
          <t>Formation</t>
        </is>
      </c>
      <c r="E345" s="38" t="n">
        <v>15000</v>
      </c>
      <c r="F345" s="38" t="n">
        <v>13893</v>
      </c>
      <c r="G345" s="39">
        <f>F345-E345</f>
        <v/>
      </c>
      <c r="H345" s="40">
        <f>IF(E345=0,0,(F345-E345)/E345)</f>
        <v/>
      </c>
      <c r="I345" s="41">
        <f>IF(H345&gt;0.1,"⚠️ Dépassement",IF(H345&lt;-0.1,"✅ Économie","🔵 Normal"))</f>
        <v/>
      </c>
      <c r="J345" s="38">
        <f>SUMPRODUCT((B$3:B345=B345)*(C$3:C345=C345)*(D$3:D345=D345)*E$3:E345)</f>
        <v/>
      </c>
      <c r="K345" s="38">
        <f>SUMPRODUCT((B$3:B345=B345)*(C$3:C345=C345)*(D$3:D345=D345)*F$3:F345)</f>
        <v/>
      </c>
      <c r="L345" s="42">
        <f>IF(J345=0,0,K345/J345)</f>
        <v/>
      </c>
    </row>
    <row r="346">
      <c r="A346" s="23" t="inlineStr">
        <is>
          <t>Septembre</t>
        </is>
      </c>
      <c r="B346" s="23" t="n">
        <v>9</v>
      </c>
      <c r="C346" s="23" t="inlineStr">
        <is>
          <t>Production</t>
        </is>
      </c>
      <c r="D346" s="23" t="inlineStr">
        <is>
          <t>Publicité &amp; Communication</t>
        </is>
      </c>
      <c r="E346" s="21" t="n">
        <v>5000</v>
      </c>
      <c r="F346" s="21" t="n">
        <v>4317</v>
      </c>
      <c r="G346" s="39">
        <f>F346-E346</f>
        <v/>
      </c>
      <c r="H346" s="40">
        <f>IF(E346=0,0,(F346-E346)/E346)</f>
        <v/>
      </c>
      <c r="I346" s="41">
        <f>IF(H346&gt;0.1,"⚠️ Dépassement",IF(H346&lt;-0.1,"✅ Économie","🔵 Normal"))</f>
        <v/>
      </c>
      <c r="J346" s="21">
        <f>SUMPRODUCT((B$3:B346=B346)*(C$3:C346=C346)*(D$3:D346=D346)*E$3:E346)</f>
        <v/>
      </c>
      <c r="K346" s="21">
        <f>SUMPRODUCT((B$3:B346=B346)*(C$3:C346=C346)*(D$3:D346=D346)*F$3:F346)</f>
        <v/>
      </c>
      <c r="L346" s="22">
        <f>IF(J346=0,0,K346/J346)</f>
        <v/>
      </c>
    </row>
    <row r="347">
      <c r="A347" s="37" t="inlineStr">
        <is>
          <t>Septembre</t>
        </is>
      </c>
      <c r="B347" s="37" t="n">
        <v>9</v>
      </c>
      <c r="C347" s="37" t="inlineStr">
        <is>
          <t>IT</t>
        </is>
      </c>
      <c r="D347" s="37" t="inlineStr">
        <is>
          <t>Salaires</t>
        </is>
      </c>
      <c r="E347" s="38" t="n">
        <v>130000</v>
      </c>
      <c r="F347" s="38" t="n">
        <v>129197</v>
      </c>
      <c r="G347" s="39">
        <f>F347-E347</f>
        <v/>
      </c>
      <c r="H347" s="40">
        <f>IF(E347=0,0,(F347-E347)/E347)</f>
        <v/>
      </c>
      <c r="I347" s="41">
        <f>IF(H347&gt;0.1,"⚠️ Dépassement",IF(H347&lt;-0.1,"✅ Économie","🔵 Normal"))</f>
        <v/>
      </c>
      <c r="J347" s="38">
        <f>SUMPRODUCT((B$3:B347=B347)*(C$3:C347=C347)*(D$3:D347=D347)*E$3:E347)</f>
        <v/>
      </c>
      <c r="K347" s="38">
        <f>SUMPRODUCT((B$3:B347=B347)*(C$3:C347=C347)*(D$3:D347=D347)*F$3:F347)</f>
        <v/>
      </c>
      <c r="L347" s="42">
        <f>IF(J347=0,0,K347/J347)</f>
        <v/>
      </c>
    </row>
    <row r="348">
      <c r="A348" s="23" t="inlineStr">
        <is>
          <t>Septembre</t>
        </is>
      </c>
      <c r="B348" s="23" t="n">
        <v>9</v>
      </c>
      <c r="C348" s="23" t="inlineStr">
        <is>
          <t>IT</t>
        </is>
      </c>
      <c r="D348" s="23" t="inlineStr">
        <is>
          <t>Charges sociales</t>
        </is>
      </c>
      <c r="E348" s="21" t="n">
        <v>39000</v>
      </c>
      <c r="F348" s="21" t="n">
        <v>43345</v>
      </c>
      <c r="G348" s="39">
        <f>F348-E348</f>
        <v/>
      </c>
      <c r="H348" s="40">
        <f>IF(E348=0,0,(F348-E348)/E348)</f>
        <v/>
      </c>
      <c r="I348" s="41">
        <f>IF(H348&gt;0.1,"⚠️ Dépassement",IF(H348&lt;-0.1,"✅ Économie","🔵 Normal"))</f>
        <v/>
      </c>
      <c r="J348" s="21">
        <f>SUMPRODUCT((B$3:B348=B348)*(C$3:C348=C348)*(D$3:D348=D348)*E$3:E348)</f>
        <v/>
      </c>
      <c r="K348" s="21">
        <f>SUMPRODUCT((B$3:B348=B348)*(C$3:C348=C348)*(D$3:D348=D348)*F$3:F348)</f>
        <v/>
      </c>
      <c r="L348" s="22">
        <f>IF(J348=0,0,K348/J348)</f>
        <v/>
      </c>
    </row>
    <row r="349">
      <c r="A349" s="37" t="inlineStr">
        <is>
          <t>Septembre</t>
        </is>
      </c>
      <c r="B349" s="37" t="n">
        <v>9</v>
      </c>
      <c r="C349" s="37" t="inlineStr">
        <is>
          <t>IT</t>
        </is>
      </c>
      <c r="D349" s="37" t="inlineStr">
        <is>
          <t>Loyer &amp; Charges</t>
        </is>
      </c>
      <c r="E349" s="38" t="n">
        <v>10000</v>
      </c>
      <c r="F349" s="38" t="n">
        <v>9455</v>
      </c>
      <c r="G349" s="39">
        <f>F349-E349</f>
        <v/>
      </c>
      <c r="H349" s="40">
        <f>IF(E349=0,0,(F349-E349)/E349)</f>
        <v/>
      </c>
      <c r="I349" s="41">
        <f>IF(H349&gt;0.1,"⚠️ Dépassement",IF(H349&lt;-0.1,"✅ Économie","🔵 Normal"))</f>
        <v/>
      </c>
      <c r="J349" s="38">
        <f>SUMPRODUCT((B$3:B349=B349)*(C$3:C349=C349)*(D$3:D349=D349)*E$3:E349)</f>
        <v/>
      </c>
      <c r="K349" s="38">
        <f>SUMPRODUCT((B$3:B349=B349)*(C$3:C349=C349)*(D$3:D349=D349)*F$3:F349)</f>
        <v/>
      </c>
      <c r="L349" s="42">
        <f>IF(J349=0,0,K349/J349)</f>
        <v/>
      </c>
    </row>
    <row r="350">
      <c r="A350" s="23" t="inlineStr">
        <is>
          <t>Septembre</t>
        </is>
      </c>
      <c r="B350" s="23" t="n">
        <v>9</v>
      </c>
      <c r="C350" s="23" t="inlineStr">
        <is>
          <t>IT</t>
        </is>
      </c>
      <c r="D350" s="23" t="inlineStr">
        <is>
          <t>Matières &amp; Fournitures</t>
        </is>
      </c>
      <c r="E350" s="21" t="n">
        <v>20000</v>
      </c>
      <c r="F350" s="21" t="n">
        <v>21250</v>
      </c>
      <c r="G350" s="39">
        <f>F350-E350</f>
        <v/>
      </c>
      <c r="H350" s="40">
        <f>IF(E350=0,0,(F350-E350)/E350)</f>
        <v/>
      </c>
      <c r="I350" s="41">
        <f>IF(H350&gt;0.1,"⚠️ Dépassement",IF(H350&lt;-0.1,"✅ Économie","🔵 Normal"))</f>
        <v/>
      </c>
      <c r="J350" s="21">
        <f>SUMPRODUCT((B$3:B350=B350)*(C$3:C350=C350)*(D$3:D350=D350)*E$3:E350)</f>
        <v/>
      </c>
      <c r="K350" s="21">
        <f>SUMPRODUCT((B$3:B350=B350)*(C$3:C350=C350)*(D$3:D350=D350)*F$3:F350)</f>
        <v/>
      </c>
      <c r="L350" s="22">
        <f>IF(J350=0,0,K350/J350)</f>
        <v/>
      </c>
    </row>
    <row r="351">
      <c r="A351" s="37" t="inlineStr">
        <is>
          <t>Septembre</t>
        </is>
      </c>
      <c r="B351" s="37" t="n">
        <v>9</v>
      </c>
      <c r="C351" s="37" t="inlineStr">
        <is>
          <t>IT</t>
        </is>
      </c>
      <c r="D351" s="37" t="inlineStr">
        <is>
          <t>Informatique &amp; Licences</t>
        </is>
      </c>
      <c r="E351" s="38" t="n">
        <v>50000</v>
      </c>
      <c r="F351" s="38" t="n">
        <v>51228</v>
      </c>
      <c r="G351" s="39">
        <f>F351-E351</f>
        <v/>
      </c>
      <c r="H351" s="40">
        <f>IF(E351=0,0,(F351-E351)/E351)</f>
        <v/>
      </c>
      <c r="I351" s="41">
        <f>IF(H351&gt;0.1,"⚠️ Dépassement",IF(H351&lt;-0.1,"✅ Économie","🔵 Normal"))</f>
        <v/>
      </c>
      <c r="J351" s="38">
        <f>SUMPRODUCT((B$3:B351=B351)*(C$3:C351=C351)*(D$3:D351=D351)*E$3:E351)</f>
        <v/>
      </c>
      <c r="K351" s="38">
        <f>SUMPRODUCT((B$3:B351=B351)*(C$3:C351=C351)*(D$3:D351=D351)*F$3:F351)</f>
        <v/>
      </c>
      <c r="L351" s="42">
        <f>IF(J351=0,0,K351/J351)</f>
        <v/>
      </c>
    </row>
    <row r="352">
      <c r="A352" s="23" t="inlineStr">
        <is>
          <t>Septembre</t>
        </is>
      </c>
      <c r="B352" s="23" t="n">
        <v>9</v>
      </c>
      <c r="C352" s="23" t="inlineStr">
        <is>
          <t>IT</t>
        </is>
      </c>
      <c r="D352" s="23" t="inlineStr">
        <is>
          <t>Déplacements &amp; Missions</t>
        </is>
      </c>
      <c r="E352" s="21" t="n">
        <v>8000</v>
      </c>
      <c r="F352" s="21" t="n">
        <v>7793</v>
      </c>
      <c r="G352" s="39">
        <f>F352-E352</f>
        <v/>
      </c>
      <c r="H352" s="40">
        <f>IF(E352=0,0,(F352-E352)/E352)</f>
        <v/>
      </c>
      <c r="I352" s="41">
        <f>IF(H352&gt;0.1,"⚠️ Dépassement",IF(H352&lt;-0.1,"✅ Économie","🔵 Normal"))</f>
        <v/>
      </c>
      <c r="J352" s="21">
        <f>SUMPRODUCT((B$3:B352=B352)*(C$3:C352=C352)*(D$3:D352=D352)*E$3:E352)</f>
        <v/>
      </c>
      <c r="K352" s="21">
        <f>SUMPRODUCT((B$3:B352=B352)*(C$3:C352=C352)*(D$3:D352=D352)*F$3:F352)</f>
        <v/>
      </c>
      <c r="L352" s="22">
        <f>IF(J352=0,0,K352/J352)</f>
        <v/>
      </c>
    </row>
    <row r="353">
      <c r="A353" s="37" t="inlineStr">
        <is>
          <t>Septembre</t>
        </is>
      </c>
      <c r="B353" s="37" t="n">
        <v>9</v>
      </c>
      <c r="C353" s="37" t="inlineStr">
        <is>
          <t>IT</t>
        </is>
      </c>
      <c r="D353" s="37" t="inlineStr">
        <is>
          <t>Formation</t>
        </is>
      </c>
      <c r="E353" s="38" t="n">
        <v>18000</v>
      </c>
      <c r="F353" s="38" t="n">
        <v>18911</v>
      </c>
      <c r="G353" s="39">
        <f>F353-E353</f>
        <v/>
      </c>
      <c r="H353" s="40">
        <f>IF(E353=0,0,(F353-E353)/E353)</f>
        <v/>
      </c>
      <c r="I353" s="41">
        <f>IF(H353&gt;0.1,"⚠️ Dépassement",IF(H353&lt;-0.1,"✅ Économie","🔵 Normal"))</f>
        <v/>
      </c>
      <c r="J353" s="38">
        <f>SUMPRODUCT((B$3:B353=B353)*(C$3:C353=C353)*(D$3:D353=D353)*E$3:E353)</f>
        <v/>
      </c>
      <c r="K353" s="38">
        <f>SUMPRODUCT((B$3:B353=B353)*(C$3:C353=C353)*(D$3:D353=D353)*F$3:F353)</f>
        <v/>
      </c>
      <c r="L353" s="42">
        <f>IF(J353=0,0,K353/J353)</f>
        <v/>
      </c>
    </row>
    <row r="354">
      <c r="A354" s="23" t="inlineStr">
        <is>
          <t>Septembre</t>
        </is>
      </c>
      <c r="B354" s="23" t="n">
        <v>9</v>
      </c>
      <c r="C354" s="23" t="inlineStr">
        <is>
          <t>IT</t>
        </is>
      </c>
      <c r="D354" s="23" t="inlineStr">
        <is>
          <t>Publicité &amp; Communication</t>
        </is>
      </c>
      <c r="E354" s="21" t="n">
        <v>4000</v>
      </c>
      <c r="F354" s="21" t="n">
        <v>3688</v>
      </c>
      <c r="G354" s="39">
        <f>F354-E354</f>
        <v/>
      </c>
      <c r="H354" s="40">
        <f>IF(E354=0,0,(F354-E354)/E354)</f>
        <v/>
      </c>
      <c r="I354" s="41">
        <f>IF(H354&gt;0.1,"⚠️ Dépassement",IF(H354&lt;-0.1,"✅ Économie","🔵 Normal"))</f>
        <v/>
      </c>
      <c r="J354" s="21">
        <f>SUMPRODUCT((B$3:B354=B354)*(C$3:C354=C354)*(D$3:D354=D354)*E$3:E354)</f>
        <v/>
      </c>
      <c r="K354" s="21">
        <f>SUMPRODUCT((B$3:B354=B354)*(C$3:C354=C354)*(D$3:D354=D354)*F$3:F354)</f>
        <v/>
      </c>
      <c r="L354" s="22">
        <f>IF(J354=0,0,K354/J354)</f>
        <v/>
      </c>
    </row>
    <row r="355">
      <c r="A355" s="37" t="inlineStr">
        <is>
          <t>Septembre</t>
        </is>
      </c>
      <c r="B355" s="37" t="n">
        <v>9</v>
      </c>
      <c r="C355" s="37" t="inlineStr">
        <is>
          <t>Administration</t>
        </is>
      </c>
      <c r="D355" s="37" t="inlineStr">
        <is>
          <t>Salaires</t>
        </is>
      </c>
      <c r="E355" s="38" t="n">
        <v>75000</v>
      </c>
      <c r="F355" s="38" t="n">
        <v>82764</v>
      </c>
      <c r="G355" s="39">
        <f>F355-E355</f>
        <v/>
      </c>
      <c r="H355" s="40">
        <f>IF(E355=0,0,(F355-E355)/E355)</f>
        <v/>
      </c>
      <c r="I355" s="41">
        <f>IF(H355&gt;0.1,"⚠️ Dépassement",IF(H355&lt;-0.1,"✅ Économie","🔵 Normal"))</f>
        <v/>
      </c>
      <c r="J355" s="38">
        <f>SUMPRODUCT((B$3:B355=B355)*(C$3:C355=C355)*(D$3:D355=D355)*E$3:E355)</f>
        <v/>
      </c>
      <c r="K355" s="38">
        <f>SUMPRODUCT((B$3:B355=B355)*(C$3:C355=C355)*(D$3:D355=D355)*F$3:F355)</f>
        <v/>
      </c>
      <c r="L355" s="42">
        <f>IF(J355=0,0,K355/J355)</f>
        <v/>
      </c>
    </row>
    <row r="356">
      <c r="A356" s="23" t="inlineStr">
        <is>
          <t>Septembre</t>
        </is>
      </c>
      <c r="B356" s="23" t="n">
        <v>9</v>
      </c>
      <c r="C356" s="23" t="inlineStr">
        <is>
          <t>Administration</t>
        </is>
      </c>
      <c r="D356" s="23" t="inlineStr">
        <is>
          <t>Charges sociales</t>
        </is>
      </c>
      <c r="E356" s="21" t="n">
        <v>22500</v>
      </c>
      <c r="F356" s="21" t="n">
        <v>18465</v>
      </c>
      <c r="G356" s="39">
        <f>F356-E356</f>
        <v/>
      </c>
      <c r="H356" s="40">
        <f>IF(E356=0,0,(F356-E356)/E356)</f>
        <v/>
      </c>
      <c r="I356" s="41">
        <f>IF(H356&gt;0.1,"⚠️ Dépassement",IF(H356&lt;-0.1,"✅ Économie","🔵 Normal"))</f>
        <v/>
      </c>
      <c r="J356" s="21">
        <f>SUMPRODUCT((B$3:B356=B356)*(C$3:C356=C356)*(D$3:D356=D356)*E$3:E356)</f>
        <v/>
      </c>
      <c r="K356" s="21">
        <f>SUMPRODUCT((B$3:B356=B356)*(C$3:C356=C356)*(D$3:D356=D356)*F$3:F356)</f>
        <v/>
      </c>
      <c r="L356" s="22">
        <f>IF(J356=0,0,K356/J356)</f>
        <v/>
      </c>
    </row>
    <row r="357">
      <c r="A357" s="37" t="inlineStr">
        <is>
          <t>Septembre</t>
        </is>
      </c>
      <c r="B357" s="37" t="n">
        <v>9</v>
      </c>
      <c r="C357" s="37" t="inlineStr">
        <is>
          <t>Administration</t>
        </is>
      </c>
      <c r="D357" s="37" t="inlineStr">
        <is>
          <t>Loyer &amp; Charges</t>
        </is>
      </c>
      <c r="E357" s="38" t="n">
        <v>18000</v>
      </c>
      <c r="F357" s="38" t="n">
        <v>21424</v>
      </c>
      <c r="G357" s="39">
        <f>F357-E357</f>
        <v/>
      </c>
      <c r="H357" s="40">
        <f>IF(E357=0,0,(F357-E357)/E357)</f>
        <v/>
      </c>
      <c r="I357" s="41">
        <f>IF(H357&gt;0.1,"⚠️ Dépassement",IF(H357&lt;-0.1,"✅ Économie","🔵 Normal"))</f>
        <v/>
      </c>
      <c r="J357" s="38">
        <f>SUMPRODUCT((B$3:B357=B357)*(C$3:C357=C357)*(D$3:D357=D357)*E$3:E357)</f>
        <v/>
      </c>
      <c r="K357" s="38">
        <f>SUMPRODUCT((B$3:B357=B357)*(C$3:C357=C357)*(D$3:D357=D357)*F$3:F357)</f>
        <v/>
      </c>
      <c r="L357" s="42">
        <f>IF(J357=0,0,K357/J357)</f>
        <v/>
      </c>
    </row>
    <row r="358">
      <c r="A358" s="23" t="inlineStr">
        <is>
          <t>Septembre</t>
        </is>
      </c>
      <c r="B358" s="23" t="n">
        <v>9</v>
      </c>
      <c r="C358" s="23" t="inlineStr">
        <is>
          <t>Administration</t>
        </is>
      </c>
      <c r="D358" s="23" t="inlineStr">
        <is>
          <t>Matières &amp; Fournitures</t>
        </is>
      </c>
      <c r="E358" s="21" t="n">
        <v>12000</v>
      </c>
      <c r="F358" s="21" t="n">
        <v>12425</v>
      </c>
      <c r="G358" s="39">
        <f>F358-E358</f>
        <v/>
      </c>
      <c r="H358" s="40">
        <f>IF(E358=0,0,(F358-E358)/E358)</f>
        <v/>
      </c>
      <c r="I358" s="41">
        <f>IF(H358&gt;0.1,"⚠️ Dépassement",IF(H358&lt;-0.1,"✅ Économie","🔵 Normal"))</f>
        <v/>
      </c>
      <c r="J358" s="21">
        <f>SUMPRODUCT((B$3:B358=B358)*(C$3:C358=C358)*(D$3:D358=D358)*E$3:E358)</f>
        <v/>
      </c>
      <c r="K358" s="21">
        <f>SUMPRODUCT((B$3:B358=B358)*(C$3:C358=C358)*(D$3:D358=D358)*F$3:F358)</f>
        <v/>
      </c>
      <c r="L358" s="22">
        <f>IF(J358=0,0,K358/J358)</f>
        <v/>
      </c>
    </row>
    <row r="359">
      <c r="A359" s="37" t="inlineStr">
        <is>
          <t>Septembre</t>
        </is>
      </c>
      <c r="B359" s="37" t="n">
        <v>9</v>
      </c>
      <c r="C359" s="37" t="inlineStr">
        <is>
          <t>Administration</t>
        </is>
      </c>
      <c r="D359" s="37" t="inlineStr">
        <is>
          <t>Informatique &amp; Licences</t>
        </is>
      </c>
      <c r="E359" s="38" t="n">
        <v>6000</v>
      </c>
      <c r="F359" s="38" t="n">
        <v>6647</v>
      </c>
      <c r="G359" s="39">
        <f>F359-E359</f>
        <v/>
      </c>
      <c r="H359" s="40">
        <f>IF(E359=0,0,(F359-E359)/E359)</f>
        <v/>
      </c>
      <c r="I359" s="41">
        <f>IF(H359&gt;0.1,"⚠️ Dépassement",IF(H359&lt;-0.1,"✅ Économie","🔵 Normal"))</f>
        <v/>
      </c>
      <c r="J359" s="38">
        <f>SUMPRODUCT((B$3:B359=B359)*(C$3:C359=C359)*(D$3:D359=D359)*E$3:E359)</f>
        <v/>
      </c>
      <c r="K359" s="38">
        <f>SUMPRODUCT((B$3:B359=B359)*(C$3:C359=C359)*(D$3:D359=D359)*F$3:F359)</f>
        <v/>
      </c>
      <c r="L359" s="42">
        <f>IF(J359=0,0,K359/J359)</f>
        <v/>
      </c>
    </row>
    <row r="360">
      <c r="A360" s="23" t="inlineStr">
        <is>
          <t>Septembre</t>
        </is>
      </c>
      <c r="B360" s="23" t="n">
        <v>9</v>
      </c>
      <c r="C360" s="23" t="inlineStr">
        <is>
          <t>Administration</t>
        </is>
      </c>
      <c r="D360" s="23" t="inlineStr">
        <is>
          <t>Déplacements &amp; Missions</t>
        </is>
      </c>
      <c r="E360" s="21" t="n">
        <v>9000</v>
      </c>
      <c r="F360" s="21" t="n">
        <v>10051</v>
      </c>
      <c r="G360" s="39">
        <f>F360-E360</f>
        <v/>
      </c>
      <c r="H360" s="40">
        <f>IF(E360=0,0,(F360-E360)/E360)</f>
        <v/>
      </c>
      <c r="I360" s="41">
        <f>IF(H360&gt;0.1,"⚠️ Dépassement",IF(H360&lt;-0.1,"✅ Économie","🔵 Normal"))</f>
        <v/>
      </c>
      <c r="J360" s="21">
        <f>SUMPRODUCT((B$3:B360=B360)*(C$3:C360=C360)*(D$3:D360=D360)*E$3:E360)</f>
        <v/>
      </c>
      <c r="K360" s="21">
        <f>SUMPRODUCT((B$3:B360=B360)*(C$3:C360=C360)*(D$3:D360=D360)*F$3:F360)</f>
        <v/>
      </c>
      <c r="L360" s="22">
        <f>IF(J360=0,0,K360/J360)</f>
        <v/>
      </c>
    </row>
    <row r="361">
      <c r="A361" s="37" t="inlineStr">
        <is>
          <t>Septembre</t>
        </is>
      </c>
      <c r="B361" s="37" t="n">
        <v>9</v>
      </c>
      <c r="C361" s="37" t="inlineStr">
        <is>
          <t>Administration</t>
        </is>
      </c>
      <c r="D361" s="37" t="inlineStr">
        <is>
          <t>Formation</t>
        </is>
      </c>
      <c r="E361" s="38" t="n">
        <v>5000</v>
      </c>
      <c r="F361" s="38" t="n">
        <v>5441</v>
      </c>
      <c r="G361" s="39">
        <f>F361-E361</f>
        <v/>
      </c>
      <c r="H361" s="40">
        <f>IF(E361=0,0,(F361-E361)/E361)</f>
        <v/>
      </c>
      <c r="I361" s="41">
        <f>IF(H361&gt;0.1,"⚠️ Dépassement",IF(H361&lt;-0.1,"✅ Économie","🔵 Normal"))</f>
        <v/>
      </c>
      <c r="J361" s="38">
        <f>SUMPRODUCT((B$3:B361=B361)*(C$3:C361=C361)*(D$3:D361=D361)*E$3:E361)</f>
        <v/>
      </c>
      <c r="K361" s="38">
        <f>SUMPRODUCT((B$3:B361=B361)*(C$3:C361=C361)*(D$3:D361=D361)*F$3:F361)</f>
        <v/>
      </c>
      <c r="L361" s="42">
        <f>IF(J361=0,0,K361/J361)</f>
        <v/>
      </c>
    </row>
    <row r="362">
      <c r="A362" s="23" t="inlineStr">
        <is>
          <t>Septembre</t>
        </is>
      </c>
      <c r="B362" s="23" t="n">
        <v>9</v>
      </c>
      <c r="C362" s="23" t="inlineStr">
        <is>
          <t>Administration</t>
        </is>
      </c>
      <c r="D362" s="23" t="inlineStr">
        <is>
          <t>Publicité &amp; Communication</t>
        </is>
      </c>
      <c r="E362" s="21" t="n">
        <v>2000</v>
      </c>
      <c r="F362" s="21" t="n">
        <v>1931</v>
      </c>
      <c r="G362" s="39">
        <f>F362-E362</f>
        <v/>
      </c>
      <c r="H362" s="40">
        <f>IF(E362=0,0,(F362-E362)/E362)</f>
        <v/>
      </c>
      <c r="I362" s="41">
        <f>IF(H362&gt;0.1,"⚠️ Dépassement",IF(H362&lt;-0.1,"✅ Économie","🔵 Normal"))</f>
        <v/>
      </c>
      <c r="J362" s="21">
        <f>SUMPRODUCT((B$3:B362=B362)*(C$3:C362=C362)*(D$3:D362=D362)*E$3:E362)</f>
        <v/>
      </c>
      <c r="K362" s="21">
        <f>SUMPRODUCT((B$3:B362=B362)*(C$3:C362=C362)*(D$3:D362=D362)*F$3:F362)</f>
        <v/>
      </c>
      <c r="L362" s="22">
        <f>IF(J362=0,0,K362/J362)</f>
        <v/>
      </c>
    </row>
    <row r="363">
      <c r="A363" s="37" t="inlineStr">
        <is>
          <t>Octobre</t>
        </is>
      </c>
      <c r="B363" s="37" t="n">
        <v>10</v>
      </c>
      <c r="C363" s="37" t="inlineStr">
        <is>
          <t>RH</t>
        </is>
      </c>
      <c r="D363" s="37" t="inlineStr">
        <is>
          <t>Salaires</t>
        </is>
      </c>
      <c r="E363" s="38" t="n">
        <v>180000</v>
      </c>
      <c r="F363" s="38" t="n">
        <v>152638</v>
      </c>
      <c r="G363" s="39">
        <f>F363-E363</f>
        <v/>
      </c>
      <c r="H363" s="40">
        <f>IF(E363=0,0,(F363-E363)/E363)</f>
        <v/>
      </c>
      <c r="I363" s="41">
        <f>IF(H363&gt;0.1,"⚠️ Dépassement",IF(H363&lt;-0.1,"✅ Économie","🔵 Normal"))</f>
        <v/>
      </c>
      <c r="J363" s="38">
        <f>SUMPRODUCT((B$3:B363=B363)*(C$3:C363=C363)*(D$3:D363=D363)*E$3:E363)</f>
        <v/>
      </c>
      <c r="K363" s="38">
        <f>SUMPRODUCT((B$3:B363=B363)*(C$3:C363=C363)*(D$3:D363=D363)*F$3:F363)</f>
        <v/>
      </c>
      <c r="L363" s="42">
        <f>IF(J363=0,0,K363/J363)</f>
        <v/>
      </c>
    </row>
    <row r="364">
      <c r="A364" s="23" t="inlineStr">
        <is>
          <t>Octobre</t>
        </is>
      </c>
      <c r="B364" s="23" t="n">
        <v>10</v>
      </c>
      <c r="C364" s="23" t="inlineStr">
        <is>
          <t>RH</t>
        </is>
      </c>
      <c r="D364" s="23" t="inlineStr">
        <is>
          <t>Charges sociales</t>
        </is>
      </c>
      <c r="E364" s="21" t="n">
        <v>54000</v>
      </c>
      <c r="F364" s="21" t="n">
        <v>58628</v>
      </c>
      <c r="G364" s="39">
        <f>F364-E364</f>
        <v/>
      </c>
      <c r="H364" s="40">
        <f>IF(E364=0,0,(F364-E364)/E364)</f>
        <v/>
      </c>
      <c r="I364" s="41">
        <f>IF(H364&gt;0.1,"⚠️ Dépassement",IF(H364&lt;-0.1,"✅ Économie","🔵 Normal"))</f>
        <v/>
      </c>
      <c r="J364" s="21">
        <f>SUMPRODUCT((B$3:B364=B364)*(C$3:C364=C364)*(D$3:D364=D364)*E$3:E364)</f>
        <v/>
      </c>
      <c r="K364" s="21">
        <f>SUMPRODUCT((B$3:B364=B364)*(C$3:C364=C364)*(D$3:D364=D364)*F$3:F364)</f>
        <v/>
      </c>
      <c r="L364" s="22">
        <f>IF(J364=0,0,K364/J364)</f>
        <v/>
      </c>
    </row>
    <row r="365">
      <c r="A365" s="37" t="inlineStr">
        <is>
          <t>Octobre</t>
        </is>
      </c>
      <c r="B365" s="37" t="n">
        <v>10</v>
      </c>
      <c r="C365" s="37" t="inlineStr">
        <is>
          <t>RH</t>
        </is>
      </c>
      <c r="D365" s="37" t="inlineStr">
        <is>
          <t>Loyer &amp; Charges</t>
        </is>
      </c>
      <c r="E365" s="38" t="n">
        <v>15000</v>
      </c>
      <c r="F365" s="38" t="n">
        <v>14281</v>
      </c>
      <c r="G365" s="39">
        <f>F365-E365</f>
        <v/>
      </c>
      <c r="H365" s="40">
        <f>IF(E365=0,0,(F365-E365)/E365)</f>
        <v/>
      </c>
      <c r="I365" s="41">
        <f>IF(H365&gt;0.1,"⚠️ Dépassement",IF(H365&lt;-0.1,"✅ Économie","🔵 Normal"))</f>
        <v/>
      </c>
      <c r="J365" s="38">
        <f>SUMPRODUCT((B$3:B365=B365)*(C$3:C365=C365)*(D$3:D365=D365)*E$3:E365)</f>
        <v/>
      </c>
      <c r="K365" s="38">
        <f>SUMPRODUCT((B$3:B365=B365)*(C$3:C365=C365)*(D$3:D365=D365)*F$3:F365)</f>
        <v/>
      </c>
      <c r="L365" s="42">
        <f>IF(J365=0,0,K365/J365)</f>
        <v/>
      </c>
    </row>
    <row r="366">
      <c r="A366" s="23" t="inlineStr">
        <is>
          <t>Octobre</t>
        </is>
      </c>
      <c r="B366" s="23" t="n">
        <v>10</v>
      </c>
      <c r="C366" s="23" t="inlineStr">
        <is>
          <t>RH</t>
        </is>
      </c>
      <c r="D366" s="23" t="inlineStr">
        <is>
          <t>Matières &amp; Fournitures</t>
        </is>
      </c>
      <c r="E366" s="21" t="n">
        <v>8000</v>
      </c>
      <c r="F366" s="21" t="n">
        <v>7565</v>
      </c>
      <c r="G366" s="39">
        <f>F366-E366</f>
        <v/>
      </c>
      <c r="H366" s="40">
        <f>IF(E366=0,0,(F366-E366)/E366)</f>
        <v/>
      </c>
      <c r="I366" s="41">
        <f>IF(H366&gt;0.1,"⚠️ Dépassement",IF(H366&lt;-0.1,"✅ Économie","🔵 Normal"))</f>
        <v/>
      </c>
      <c r="J366" s="21">
        <f>SUMPRODUCT((B$3:B366=B366)*(C$3:C366=C366)*(D$3:D366=D366)*E$3:E366)</f>
        <v/>
      </c>
      <c r="K366" s="21">
        <f>SUMPRODUCT((B$3:B366=B366)*(C$3:C366=C366)*(D$3:D366=D366)*F$3:F366)</f>
        <v/>
      </c>
      <c r="L366" s="22">
        <f>IF(J366=0,0,K366/J366)</f>
        <v/>
      </c>
    </row>
    <row r="367">
      <c r="A367" s="37" t="inlineStr">
        <is>
          <t>Octobre</t>
        </is>
      </c>
      <c r="B367" s="37" t="n">
        <v>10</v>
      </c>
      <c r="C367" s="37" t="inlineStr">
        <is>
          <t>RH</t>
        </is>
      </c>
      <c r="D367" s="37" t="inlineStr">
        <is>
          <t>Informatique &amp; Licences</t>
        </is>
      </c>
      <c r="E367" s="38" t="n">
        <v>5000</v>
      </c>
      <c r="F367" s="38" t="n">
        <v>5796</v>
      </c>
      <c r="G367" s="39">
        <f>F367-E367</f>
        <v/>
      </c>
      <c r="H367" s="40">
        <f>IF(E367=0,0,(F367-E367)/E367)</f>
        <v/>
      </c>
      <c r="I367" s="41">
        <f>IF(H367&gt;0.1,"⚠️ Dépassement",IF(H367&lt;-0.1,"✅ Économie","🔵 Normal"))</f>
        <v/>
      </c>
      <c r="J367" s="38">
        <f>SUMPRODUCT((B$3:B367=B367)*(C$3:C367=C367)*(D$3:D367=D367)*E$3:E367)</f>
        <v/>
      </c>
      <c r="K367" s="38">
        <f>SUMPRODUCT((B$3:B367=B367)*(C$3:C367=C367)*(D$3:D367=D367)*F$3:F367)</f>
        <v/>
      </c>
      <c r="L367" s="42">
        <f>IF(J367=0,0,K367/J367)</f>
        <v/>
      </c>
    </row>
    <row r="368">
      <c r="A368" s="23" t="inlineStr">
        <is>
          <t>Octobre</t>
        </is>
      </c>
      <c r="B368" s="23" t="n">
        <v>10</v>
      </c>
      <c r="C368" s="23" t="inlineStr">
        <is>
          <t>RH</t>
        </is>
      </c>
      <c r="D368" s="23" t="inlineStr">
        <is>
          <t>Déplacements &amp; Missions</t>
        </is>
      </c>
      <c r="E368" s="21" t="n">
        <v>7000</v>
      </c>
      <c r="F368" s="21" t="n">
        <v>7755</v>
      </c>
      <c r="G368" s="39">
        <f>F368-E368</f>
        <v/>
      </c>
      <c r="H368" s="40">
        <f>IF(E368=0,0,(F368-E368)/E368)</f>
        <v/>
      </c>
      <c r="I368" s="41">
        <f>IF(H368&gt;0.1,"⚠️ Dépassement",IF(H368&lt;-0.1,"✅ Économie","🔵 Normal"))</f>
        <v/>
      </c>
      <c r="J368" s="21">
        <f>SUMPRODUCT((B$3:B368=B368)*(C$3:C368=C368)*(D$3:D368=D368)*E$3:E368)</f>
        <v/>
      </c>
      <c r="K368" s="21">
        <f>SUMPRODUCT((B$3:B368=B368)*(C$3:C368=C368)*(D$3:D368=D368)*F$3:F368)</f>
        <v/>
      </c>
      <c r="L368" s="22">
        <f>IF(J368=0,0,K368/J368)</f>
        <v/>
      </c>
    </row>
    <row r="369">
      <c r="A369" s="37" t="inlineStr">
        <is>
          <t>Octobre</t>
        </is>
      </c>
      <c r="B369" s="37" t="n">
        <v>10</v>
      </c>
      <c r="C369" s="37" t="inlineStr">
        <is>
          <t>RH</t>
        </is>
      </c>
      <c r="D369" s="37" t="inlineStr">
        <is>
          <t>Formation</t>
        </is>
      </c>
      <c r="E369" s="38" t="n">
        <v>20000</v>
      </c>
      <c r="F369" s="38" t="n">
        <v>18803</v>
      </c>
      <c r="G369" s="39">
        <f>F369-E369</f>
        <v/>
      </c>
      <c r="H369" s="40">
        <f>IF(E369=0,0,(F369-E369)/E369)</f>
        <v/>
      </c>
      <c r="I369" s="41">
        <f>IF(H369&gt;0.1,"⚠️ Dépassement",IF(H369&lt;-0.1,"✅ Économie","🔵 Normal"))</f>
        <v/>
      </c>
      <c r="J369" s="38">
        <f>SUMPRODUCT((B$3:B369=B369)*(C$3:C369=C369)*(D$3:D369=D369)*E$3:E369)</f>
        <v/>
      </c>
      <c r="K369" s="38">
        <f>SUMPRODUCT((B$3:B369=B369)*(C$3:C369=C369)*(D$3:D369=D369)*F$3:F369)</f>
        <v/>
      </c>
      <c r="L369" s="42">
        <f>IF(J369=0,0,K369/J369)</f>
        <v/>
      </c>
    </row>
    <row r="370">
      <c r="A370" s="23" t="inlineStr">
        <is>
          <t>Octobre</t>
        </is>
      </c>
      <c r="B370" s="23" t="n">
        <v>10</v>
      </c>
      <c r="C370" s="23" t="inlineStr">
        <is>
          <t>RH</t>
        </is>
      </c>
      <c r="D370" s="23" t="inlineStr">
        <is>
          <t>Publicité &amp; Communication</t>
        </is>
      </c>
      <c r="E370" s="21" t="n">
        <v>3000</v>
      </c>
      <c r="F370" s="21" t="n">
        <v>2831</v>
      </c>
      <c r="G370" s="39">
        <f>F370-E370</f>
        <v/>
      </c>
      <c r="H370" s="40">
        <f>IF(E370=0,0,(F370-E370)/E370)</f>
        <v/>
      </c>
      <c r="I370" s="41">
        <f>IF(H370&gt;0.1,"⚠️ Dépassement",IF(H370&lt;-0.1,"✅ Économie","🔵 Normal"))</f>
        <v/>
      </c>
      <c r="J370" s="21">
        <f>SUMPRODUCT((B$3:B370=B370)*(C$3:C370=C370)*(D$3:D370=D370)*E$3:E370)</f>
        <v/>
      </c>
      <c r="K370" s="21">
        <f>SUMPRODUCT((B$3:B370=B370)*(C$3:C370=C370)*(D$3:D370=D370)*F$3:F370)</f>
        <v/>
      </c>
      <c r="L370" s="22">
        <f>IF(J370=0,0,K370/J370)</f>
        <v/>
      </c>
    </row>
    <row r="371">
      <c r="A371" s="37" t="inlineStr">
        <is>
          <t>Octobre</t>
        </is>
      </c>
      <c r="B371" s="37" t="n">
        <v>10</v>
      </c>
      <c r="C371" s="37" t="inlineStr">
        <is>
          <t>Marketing</t>
        </is>
      </c>
      <c r="D371" s="37" t="inlineStr">
        <is>
          <t>Salaires</t>
        </is>
      </c>
      <c r="E371" s="38" t="n">
        <v>95000</v>
      </c>
      <c r="F371" s="38" t="n">
        <v>93419</v>
      </c>
      <c r="G371" s="39">
        <f>F371-E371</f>
        <v/>
      </c>
      <c r="H371" s="40">
        <f>IF(E371=0,0,(F371-E371)/E371)</f>
        <v/>
      </c>
      <c r="I371" s="41">
        <f>IF(H371&gt;0.1,"⚠️ Dépassement",IF(H371&lt;-0.1,"✅ Économie","🔵 Normal"))</f>
        <v/>
      </c>
      <c r="J371" s="38">
        <f>SUMPRODUCT((B$3:B371=B371)*(C$3:C371=C371)*(D$3:D371=D371)*E$3:E371)</f>
        <v/>
      </c>
      <c r="K371" s="38">
        <f>SUMPRODUCT((B$3:B371=B371)*(C$3:C371=C371)*(D$3:D371=D371)*F$3:F371)</f>
        <v/>
      </c>
      <c r="L371" s="42">
        <f>IF(J371=0,0,K371/J371)</f>
        <v/>
      </c>
    </row>
    <row r="372">
      <c r="A372" s="23" t="inlineStr">
        <is>
          <t>Octobre</t>
        </is>
      </c>
      <c r="B372" s="23" t="n">
        <v>10</v>
      </c>
      <c r="C372" s="23" t="inlineStr">
        <is>
          <t>Marketing</t>
        </is>
      </c>
      <c r="D372" s="23" t="inlineStr">
        <is>
          <t>Charges sociales</t>
        </is>
      </c>
      <c r="E372" s="21" t="n">
        <v>28500</v>
      </c>
      <c r="F372" s="21" t="n">
        <v>27957</v>
      </c>
      <c r="G372" s="39">
        <f>F372-E372</f>
        <v/>
      </c>
      <c r="H372" s="40">
        <f>IF(E372=0,0,(F372-E372)/E372)</f>
        <v/>
      </c>
      <c r="I372" s="41">
        <f>IF(H372&gt;0.1,"⚠️ Dépassement",IF(H372&lt;-0.1,"✅ Économie","🔵 Normal"))</f>
        <v/>
      </c>
      <c r="J372" s="21">
        <f>SUMPRODUCT((B$3:B372=B372)*(C$3:C372=C372)*(D$3:D372=D372)*E$3:E372)</f>
        <v/>
      </c>
      <c r="K372" s="21">
        <f>SUMPRODUCT((B$3:B372=B372)*(C$3:C372=C372)*(D$3:D372=D372)*F$3:F372)</f>
        <v/>
      </c>
      <c r="L372" s="22">
        <f>IF(J372=0,0,K372/J372)</f>
        <v/>
      </c>
    </row>
    <row r="373">
      <c r="A373" s="37" t="inlineStr">
        <is>
          <t>Octobre</t>
        </is>
      </c>
      <c r="B373" s="37" t="n">
        <v>10</v>
      </c>
      <c r="C373" s="37" t="inlineStr">
        <is>
          <t>Marketing</t>
        </is>
      </c>
      <c r="D373" s="37" t="inlineStr">
        <is>
          <t>Loyer &amp; Charges</t>
        </is>
      </c>
      <c r="E373" s="38" t="n">
        <v>12000</v>
      </c>
      <c r="F373" s="38" t="n">
        <v>11259</v>
      </c>
      <c r="G373" s="39">
        <f>F373-E373</f>
        <v/>
      </c>
      <c r="H373" s="40">
        <f>IF(E373=0,0,(F373-E373)/E373)</f>
        <v/>
      </c>
      <c r="I373" s="41">
        <f>IF(H373&gt;0.1,"⚠️ Dépassement",IF(H373&lt;-0.1,"✅ Économie","🔵 Normal"))</f>
        <v/>
      </c>
      <c r="J373" s="38">
        <f>SUMPRODUCT((B$3:B373=B373)*(C$3:C373=C373)*(D$3:D373=D373)*E$3:E373)</f>
        <v/>
      </c>
      <c r="K373" s="38">
        <f>SUMPRODUCT((B$3:B373=B373)*(C$3:C373=C373)*(D$3:D373=D373)*F$3:F373)</f>
        <v/>
      </c>
      <c r="L373" s="42">
        <f>IF(J373=0,0,K373/J373)</f>
        <v/>
      </c>
    </row>
    <row r="374">
      <c r="A374" s="23" t="inlineStr">
        <is>
          <t>Octobre</t>
        </is>
      </c>
      <c r="B374" s="23" t="n">
        <v>10</v>
      </c>
      <c r="C374" s="23" t="inlineStr">
        <is>
          <t>Marketing</t>
        </is>
      </c>
      <c r="D374" s="23" t="inlineStr">
        <is>
          <t>Matières &amp; Fournitures</t>
        </is>
      </c>
      <c r="E374" s="21" t="n">
        <v>6000</v>
      </c>
      <c r="F374" s="21" t="n">
        <v>5225</v>
      </c>
      <c r="G374" s="39">
        <f>F374-E374</f>
        <v/>
      </c>
      <c r="H374" s="40">
        <f>IF(E374=0,0,(F374-E374)/E374)</f>
        <v/>
      </c>
      <c r="I374" s="41">
        <f>IF(H374&gt;0.1,"⚠️ Dépassement",IF(H374&lt;-0.1,"✅ Économie","🔵 Normal"))</f>
        <v/>
      </c>
      <c r="J374" s="21">
        <f>SUMPRODUCT((B$3:B374=B374)*(C$3:C374=C374)*(D$3:D374=D374)*E$3:E374)</f>
        <v/>
      </c>
      <c r="K374" s="21">
        <f>SUMPRODUCT((B$3:B374=B374)*(C$3:C374=C374)*(D$3:D374=D374)*F$3:F374)</f>
        <v/>
      </c>
      <c r="L374" s="22">
        <f>IF(J374=0,0,K374/J374)</f>
        <v/>
      </c>
    </row>
    <row r="375">
      <c r="A375" s="37" t="inlineStr">
        <is>
          <t>Octobre</t>
        </is>
      </c>
      <c r="B375" s="37" t="n">
        <v>10</v>
      </c>
      <c r="C375" s="37" t="inlineStr">
        <is>
          <t>Marketing</t>
        </is>
      </c>
      <c r="D375" s="37" t="inlineStr">
        <is>
          <t>Informatique &amp; Licences</t>
        </is>
      </c>
      <c r="E375" s="38" t="n">
        <v>8000</v>
      </c>
      <c r="F375" s="38" t="n">
        <v>7905</v>
      </c>
      <c r="G375" s="39">
        <f>F375-E375</f>
        <v/>
      </c>
      <c r="H375" s="40">
        <f>IF(E375=0,0,(F375-E375)/E375)</f>
        <v/>
      </c>
      <c r="I375" s="41">
        <f>IF(H375&gt;0.1,"⚠️ Dépassement",IF(H375&lt;-0.1,"✅ Économie","🔵 Normal"))</f>
        <v/>
      </c>
      <c r="J375" s="38">
        <f>SUMPRODUCT((B$3:B375=B375)*(C$3:C375=C375)*(D$3:D375=D375)*E$3:E375)</f>
        <v/>
      </c>
      <c r="K375" s="38">
        <f>SUMPRODUCT((B$3:B375=B375)*(C$3:C375=C375)*(D$3:D375=D375)*F$3:F375)</f>
        <v/>
      </c>
      <c r="L375" s="42">
        <f>IF(J375=0,0,K375/J375)</f>
        <v/>
      </c>
    </row>
    <row r="376">
      <c r="A376" s="23" t="inlineStr">
        <is>
          <t>Octobre</t>
        </is>
      </c>
      <c r="B376" s="23" t="n">
        <v>10</v>
      </c>
      <c r="C376" s="23" t="inlineStr">
        <is>
          <t>Marketing</t>
        </is>
      </c>
      <c r="D376" s="23" t="inlineStr">
        <is>
          <t>Déplacements &amp; Missions</t>
        </is>
      </c>
      <c r="E376" s="21" t="n">
        <v>15000</v>
      </c>
      <c r="F376" s="21" t="n">
        <v>17942</v>
      </c>
      <c r="G376" s="39">
        <f>F376-E376</f>
        <v/>
      </c>
      <c r="H376" s="40">
        <f>IF(E376=0,0,(F376-E376)/E376)</f>
        <v/>
      </c>
      <c r="I376" s="41">
        <f>IF(H376&gt;0.1,"⚠️ Dépassement",IF(H376&lt;-0.1,"✅ Économie","🔵 Normal"))</f>
        <v/>
      </c>
      <c r="J376" s="21">
        <f>SUMPRODUCT((B$3:B376=B376)*(C$3:C376=C376)*(D$3:D376=D376)*E$3:E376)</f>
        <v/>
      </c>
      <c r="K376" s="21">
        <f>SUMPRODUCT((B$3:B376=B376)*(C$3:C376=C376)*(D$3:D376=D376)*F$3:F376)</f>
        <v/>
      </c>
      <c r="L376" s="22">
        <f>IF(J376=0,0,K376/J376)</f>
        <v/>
      </c>
    </row>
    <row r="377">
      <c r="A377" s="37" t="inlineStr">
        <is>
          <t>Octobre</t>
        </is>
      </c>
      <c r="B377" s="37" t="n">
        <v>10</v>
      </c>
      <c r="C377" s="37" t="inlineStr">
        <is>
          <t>Marketing</t>
        </is>
      </c>
      <c r="D377" s="37" t="inlineStr">
        <is>
          <t>Formation</t>
        </is>
      </c>
      <c r="E377" s="38" t="n">
        <v>8000</v>
      </c>
      <c r="F377" s="38" t="n">
        <v>8727</v>
      </c>
      <c r="G377" s="39">
        <f>F377-E377</f>
        <v/>
      </c>
      <c r="H377" s="40">
        <f>IF(E377=0,0,(F377-E377)/E377)</f>
        <v/>
      </c>
      <c r="I377" s="41">
        <f>IF(H377&gt;0.1,"⚠️ Dépassement",IF(H377&lt;-0.1,"✅ Économie","🔵 Normal"))</f>
        <v/>
      </c>
      <c r="J377" s="38">
        <f>SUMPRODUCT((B$3:B377=B377)*(C$3:C377=C377)*(D$3:D377=D377)*E$3:E377)</f>
        <v/>
      </c>
      <c r="K377" s="38">
        <f>SUMPRODUCT((B$3:B377=B377)*(C$3:C377=C377)*(D$3:D377=D377)*F$3:F377)</f>
        <v/>
      </c>
      <c r="L377" s="42">
        <f>IF(J377=0,0,K377/J377)</f>
        <v/>
      </c>
    </row>
    <row r="378">
      <c r="A378" s="23" t="inlineStr">
        <is>
          <t>Octobre</t>
        </is>
      </c>
      <c r="B378" s="23" t="n">
        <v>10</v>
      </c>
      <c r="C378" s="23" t="inlineStr">
        <is>
          <t>Marketing</t>
        </is>
      </c>
      <c r="D378" s="23" t="inlineStr">
        <is>
          <t>Publicité &amp; Communication</t>
        </is>
      </c>
      <c r="E378" s="21" t="n">
        <v>45000</v>
      </c>
      <c r="F378" s="21" t="n">
        <v>53150</v>
      </c>
      <c r="G378" s="39">
        <f>F378-E378</f>
        <v/>
      </c>
      <c r="H378" s="40">
        <f>IF(E378=0,0,(F378-E378)/E378)</f>
        <v/>
      </c>
      <c r="I378" s="41">
        <f>IF(H378&gt;0.1,"⚠️ Dépassement",IF(H378&lt;-0.1,"✅ Économie","🔵 Normal"))</f>
        <v/>
      </c>
      <c r="J378" s="21">
        <f>SUMPRODUCT((B$3:B378=B378)*(C$3:C378=C378)*(D$3:D378=D378)*E$3:E378)</f>
        <v/>
      </c>
      <c r="K378" s="21">
        <f>SUMPRODUCT((B$3:B378=B378)*(C$3:C378=C378)*(D$3:D378=D378)*F$3:F378)</f>
        <v/>
      </c>
      <c r="L378" s="22">
        <f>IF(J378=0,0,K378/J378)</f>
        <v/>
      </c>
    </row>
    <row r="379">
      <c r="A379" s="37" t="inlineStr">
        <is>
          <t>Octobre</t>
        </is>
      </c>
      <c r="B379" s="37" t="n">
        <v>10</v>
      </c>
      <c r="C379" s="37" t="inlineStr">
        <is>
          <t>Production</t>
        </is>
      </c>
      <c r="D379" s="37" t="inlineStr">
        <is>
          <t>Salaires</t>
        </is>
      </c>
      <c r="E379" s="38" t="n">
        <v>220000</v>
      </c>
      <c r="F379" s="38" t="n">
        <v>234565</v>
      </c>
      <c r="G379" s="39">
        <f>F379-E379</f>
        <v/>
      </c>
      <c r="H379" s="40">
        <f>IF(E379=0,0,(F379-E379)/E379)</f>
        <v/>
      </c>
      <c r="I379" s="41">
        <f>IF(H379&gt;0.1,"⚠️ Dépassement",IF(H379&lt;-0.1,"✅ Économie","🔵 Normal"))</f>
        <v/>
      </c>
      <c r="J379" s="38">
        <f>SUMPRODUCT((B$3:B379=B379)*(C$3:C379=C379)*(D$3:D379=D379)*E$3:E379)</f>
        <v/>
      </c>
      <c r="K379" s="38">
        <f>SUMPRODUCT((B$3:B379=B379)*(C$3:C379=C379)*(D$3:D379=D379)*F$3:F379)</f>
        <v/>
      </c>
      <c r="L379" s="42">
        <f>IF(J379=0,0,K379/J379)</f>
        <v/>
      </c>
    </row>
    <row r="380">
      <c r="A380" s="23" t="inlineStr">
        <is>
          <t>Octobre</t>
        </is>
      </c>
      <c r="B380" s="23" t="n">
        <v>10</v>
      </c>
      <c r="C380" s="23" t="inlineStr">
        <is>
          <t>Production</t>
        </is>
      </c>
      <c r="D380" s="23" t="inlineStr">
        <is>
          <t>Charges sociales</t>
        </is>
      </c>
      <c r="E380" s="21" t="n">
        <v>66000</v>
      </c>
      <c r="F380" s="21" t="n">
        <v>62065</v>
      </c>
      <c r="G380" s="39">
        <f>F380-E380</f>
        <v/>
      </c>
      <c r="H380" s="40">
        <f>IF(E380=0,0,(F380-E380)/E380)</f>
        <v/>
      </c>
      <c r="I380" s="41">
        <f>IF(H380&gt;0.1,"⚠️ Dépassement",IF(H380&lt;-0.1,"✅ Économie","🔵 Normal"))</f>
        <v/>
      </c>
      <c r="J380" s="21">
        <f>SUMPRODUCT((B$3:B380=B380)*(C$3:C380=C380)*(D$3:D380=D380)*E$3:E380)</f>
        <v/>
      </c>
      <c r="K380" s="21">
        <f>SUMPRODUCT((B$3:B380=B380)*(C$3:C380=C380)*(D$3:D380=D380)*F$3:F380)</f>
        <v/>
      </c>
      <c r="L380" s="22">
        <f>IF(J380=0,0,K380/J380)</f>
        <v/>
      </c>
    </row>
    <row r="381">
      <c r="A381" s="37" t="inlineStr">
        <is>
          <t>Octobre</t>
        </is>
      </c>
      <c r="B381" s="37" t="n">
        <v>10</v>
      </c>
      <c r="C381" s="37" t="inlineStr">
        <is>
          <t>Production</t>
        </is>
      </c>
      <c r="D381" s="37" t="inlineStr">
        <is>
          <t>Loyer &amp; Charges</t>
        </is>
      </c>
      <c r="E381" s="38" t="n">
        <v>35000</v>
      </c>
      <c r="F381" s="38" t="n">
        <v>36371</v>
      </c>
      <c r="G381" s="39">
        <f>F381-E381</f>
        <v/>
      </c>
      <c r="H381" s="40">
        <f>IF(E381=0,0,(F381-E381)/E381)</f>
        <v/>
      </c>
      <c r="I381" s="41">
        <f>IF(H381&gt;0.1,"⚠️ Dépassement",IF(H381&lt;-0.1,"✅ Économie","🔵 Normal"))</f>
        <v/>
      </c>
      <c r="J381" s="38">
        <f>SUMPRODUCT((B$3:B381=B381)*(C$3:C381=C381)*(D$3:D381=D381)*E$3:E381)</f>
        <v/>
      </c>
      <c r="K381" s="38">
        <f>SUMPRODUCT((B$3:B381=B381)*(C$3:C381=C381)*(D$3:D381=D381)*F$3:F381)</f>
        <v/>
      </c>
      <c r="L381" s="42">
        <f>IF(J381=0,0,K381/J381)</f>
        <v/>
      </c>
    </row>
    <row r="382">
      <c r="A382" s="23" t="inlineStr">
        <is>
          <t>Octobre</t>
        </is>
      </c>
      <c r="B382" s="23" t="n">
        <v>10</v>
      </c>
      <c r="C382" s="23" t="inlineStr">
        <is>
          <t>Production</t>
        </is>
      </c>
      <c r="D382" s="23" t="inlineStr">
        <is>
          <t>Matières &amp; Fournitures</t>
        </is>
      </c>
      <c r="E382" s="21" t="n">
        <v>85000</v>
      </c>
      <c r="F382" s="21" t="n">
        <v>69714</v>
      </c>
      <c r="G382" s="39">
        <f>F382-E382</f>
        <v/>
      </c>
      <c r="H382" s="40">
        <f>IF(E382=0,0,(F382-E382)/E382)</f>
        <v/>
      </c>
      <c r="I382" s="41">
        <f>IF(H382&gt;0.1,"⚠️ Dépassement",IF(H382&lt;-0.1,"✅ Économie","🔵 Normal"))</f>
        <v/>
      </c>
      <c r="J382" s="21">
        <f>SUMPRODUCT((B$3:B382=B382)*(C$3:C382=C382)*(D$3:D382=D382)*E$3:E382)</f>
        <v/>
      </c>
      <c r="K382" s="21">
        <f>SUMPRODUCT((B$3:B382=B382)*(C$3:C382=C382)*(D$3:D382=D382)*F$3:F382)</f>
        <v/>
      </c>
      <c r="L382" s="22">
        <f>IF(J382=0,0,K382/J382)</f>
        <v/>
      </c>
    </row>
    <row r="383">
      <c r="A383" s="37" t="inlineStr">
        <is>
          <t>Octobre</t>
        </is>
      </c>
      <c r="B383" s="37" t="n">
        <v>10</v>
      </c>
      <c r="C383" s="37" t="inlineStr">
        <is>
          <t>Production</t>
        </is>
      </c>
      <c r="D383" s="37" t="inlineStr">
        <is>
          <t>Informatique &amp; Licences</t>
        </is>
      </c>
      <c r="E383" s="38" t="n">
        <v>12000</v>
      </c>
      <c r="F383" s="38" t="n">
        <v>11217</v>
      </c>
      <c r="G383" s="39">
        <f>F383-E383</f>
        <v/>
      </c>
      <c r="H383" s="40">
        <f>IF(E383=0,0,(F383-E383)/E383)</f>
        <v/>
      </c>
      <c r="I383" s="41">
        <f>IF(H383&gt;0.1,"⚠️ Dépassement",IF(H383&lt;-0.1,"✅ Économie","🔵 Normal"))</f>
        <v/>
      </c>
      <c r="J383" s="38">
        <f>SUMPRODUCT((B$3:B383=B383)*(C$3:C383=C383)*(D$3:D383=D383)*E$3:E383)</f>
        <v/>
      </c>
      <c r="K383" s="38">
        <f>SUMPRODUCT((B$3:B383=B383)*(C$3:C383=C383)*(D$3:D383=D383)*F$3:F383)</f>
        <v/>
      </c>
      <c r="L383" s="42">
        <f>IF(J383=0,0,K383/J383)</f>
        <v/>
      </c>
    </row>
    <row r="384">
      <c r="A384" s="23" t="inlineStr">
        <is>
          <t>Octobre</t>
        </is>
      </c>
      <c r="B384" s="23" t="n">
        <v>10</v>
      </c>
      <c r="C384" s="23" t="inlineStr">
        <is>
          <t>Production</t>
        </is>
      </c>
      <c r="D384" s="23" t="inlineStr">
        <is>
          <t>Déplacements &amp; Missions</t>
        </is>
      </c>
      <c r="E384" s="21" t="n">
        <v>10000</v>
      </c>
      <c r="F384" s="21" t="n">
        <v>9920</v>
      </c>
      <c r="G384" s="39">
        <f>F384-E384</f>
        <v/>
      </c>
      <c r="H384" s="40">
        <f>IF(E384=0,0,(F384-E384)/E384)</f>
        <v/>
      </c>
      <c r="I384" s="41">
        <f>IF(H384&gt;0.1,"⚠️ Dépassement",IF(H384&lt;-0.1,"✅ Économie","🔵 Normal"))</f>
        <v/>
      </c>
      <c r="J384" s="21">
        <f>SUMPRODUCT((B$3:B384=B384)*(C$3:C384=C384)*(D$3:D384=D384)*E$3:E384)</f>
        <v/>
      </c>
      <c r="K384" s="21">
        <f>SUMPRODUCT((B$3:B384=B384)*(C$3:C384=C384)*(D$3:D384=D384)*F$3:F384)</f>
        <v/>
      </c>
      <c r="L384" s="22">
        <f>IF(J384=0,0,K384/J384)</f>
        <v/>
      </c>
    </row>
    <row r="385">
      <c r="A385" s="37" t="inlineStr">
        <is>
          <t>Octobre</t>
        </is>
      </c>
      <c r="B385" s="37" t="n">
        <v>10</v>
      </c>
      <c r="C385" s="37" t="inlineStr">
        <is>
          <t>Production</t>
        </is>
      </c>
      <c r="D385" s="37" t="inlineStr">
        <is>
          <t>Formation</t>
        </is>
      </c>
      <c r="E385" s="38" t="n">
        <v>15000</v>
      </c>
      <c r="F385" s="38" t="n">
        <v>15780</v>
      </c>
      <c r="G385" s="39">
        <f>F385-E385</f>
        <v/>
      </c>
      <c r="H385" s="40">
        <f>IF(E385=0,0,(F385-E385)/E385)</f>
        <v/>
      </c>
      <c r="I385" s="41">
        <f>IF(H385&gt;0.1,"⚠️ Dépassement",IF(H385&lt;-0.1,"✅ Économie","🔵 Normal"))</f>
        <v/>
      </c>
      <c r="J385" s="38">
        <f>SUMPRODUCT((B$3:B385=B385)*(C$3:C385=C385)*(D$3:D385=D385)*E$3:E385)</f>
        <v/>
      </c>
      <c r="K385" s="38">
        <f>SUMPRODUCT((B$3:B385=B385)*(C$3:C385=C385)*(D$3:D385=D385)*F$3:F385)</f>
        <v/>
      </c>
      <c r="L385" s="42">
        <f>IF(J385=0,0,K385/J385)</f>
        <v/>
      </c>
    </row>
    <row r="386">
      <c r="A386" s="23" t="inlineStr">
        <is>
          <t>Octobre</t>
        </is>
      </c>
      <c r="B386" s="23" t="n">
        <v>10</v>
      </c>
      <c r="C386" s="23" t="inlineStr">
        <is>
          <t>Production</t>
        </is>
      </c>
      <c r="D386" s="23" t="inlineStr">
        <is>
          <t>Publicité &amp; Communication</t>
        </is>
      </c>
      <c r="E386" s="21" t="n">
        <v>5000</v>
      </c>
      <c r="F386" s="21" t="n">
        <v>5409</v>
      </c>
      <c r="G386" s="39">
        <f>F386-E386</f>
        <v/>
      </c>
      <c r="H386" s="40">
        <f>IF(E386=0,0,(F386-E386)/E386)</f>
        <v/>
      </c>
      <c r="I386" s="41">
        <f>IF(H386&gt;0.1,"⚠️ Dépassement",IF(H386&lt;-0.1,"✅ Économie","🔵 Normal"))</f>
        <v/>
      </c>
      <c r="J386" s="21">
        <f>SUMPRODUCT((B$3:B386=B386)*(C$3:C386=C386)*(D$3:D386=D386)*E$3:E386)</f>
        <v/>
      </c>
      <c r="K386" s="21">
        <f>SUMPRODUCT((B$3:B386=B386)*(C$3:C386=C386)*(D$3:D386=D386)*F$3:F386)</f>
        <v/>
      </c>
      <c r="L386" s="22">
        <f>IF(J386=0,0,K386/J386)</f>
        <v/>
      </c>
    </row>
    <row r="387">
      <c r="A387" s="37" t="inlineStr">
        <is>
          <t>Octobre</t>
        </is>
      </c>
      <c r="B387" s="37" t="n">
        <v>10</v>
      </c>
      <c r="C387" s="37" t="inlineStr">
        <is>
          <t>IT</t>
        </is>
      </c>
      <c r="D387" s="37" t="inlineStr">
        <is>
          <t>Salaires</t>
        </is>
      </c>
      <c r="E387" s="38" t="n">
        <v>130000</v>
      </c>
      <c r="F387" s="38" t="n">
        <v>130779</v>
      </c>
      <c r="G387" s="39">
        <f>F387-E387</f>
        <v/>
      </c>
      <c r="H387" s="40">
        <f>IF(E387=0,0,(F387-E387)/E387)</f>
        <v/>
      </c>
      <c r="I387" s="41">
        <f>IF(H387&gt;0.1,"⚠️ Dépassement",IF(H387&lt;-0.1,"✅ Économie","🔵 Normal"))</f>
        <v/>
      </c>
      <c r="J387" s="38">
        <f>SUMPRODUCT((B$3:B387=B387)*(C$3:C387=C387)*(D$3:D387=D387)*E$3:E387)</f>
        <v/>
      </c>
      <c r="K387" s="38">
        <f>SUMPRODUCT((B$3:B387=B387)*(C$3:C387=C387)*(D$3:D387=D387)*F$3:F387)</f>
        <v/>
      </c>
      <c r="L387" s="42">
        <f>IF(J387=0,0,K387/J387)</f>
        <v/>
      </c>
    </row>
    <row r="388">
      <c r="A388" s="23" t="inlineStr">
        <is>
          <t>Octobre</t>
        </is>
      </c>
      <c r="B388" s="23" t="n">
        <v>10</v>
      </c>
      <c r="C388" s="23" t="inlineStr">
        <is>
          <t>IT</t>
        </is>
      </c>
      <c r="D388" s="23" t="inlineStr">
        <is>
          <t>Charges sociales</t>
        </is>
      </c>
      <c r="E388" s="21" t="n">
        <v>39000</v>
      </c>
      <c r="F388" s="21" t="n">
        <v>38878</v>
      </c>
      <c r="G388" s="39">
        <f>F388-E388</f>
        <v/>
      </c>
      <c r="H388" s="40">
        <f>IF(E388=0,0,(F388-E388)/E388)</f>
        <v/>
      </c>
      <c r="I388" s="41">
        <f>IF(H388&gt;0.1,"⚠️ Dépassement",IF(H388&lt;-0.1,"✅ Économie","🔵 Normal"))</f>
        <v/>
      </c>
      <c r="J388" s="21">
        <f>SUMPRODUCT((B$3:B388=B388)*(C$3:C388=C388)*(D$3:D388=D388)*E$3:E388)</f>
        <v/>
      </c>
      <c r="K388" s="21">
        <f>SUMPRODUCT((B$3:B388=B388)*(C$3:C388=C388)*(D$3:D388=D388)*F$3:F388)</f>
        <v/>
      </c>
      <c r="L388" s="22">
        <f>IF(J388=0,0,K388/J388)</f>
        <v/>
      </c>
    </row>
    <row r="389">
      <c r="A389" s="37" t="inlineStr">
        <is>
          <t>Octobre</t>
        </is>
      </c>
      <c r="B389" s="37" t="n">
        <v>10</v>
      </c>
      <c r="C389" s="37" t="inlineStr">
        <is>
          <t>IT</t>
        </is>
      </c>
      <c r="D389" s="37" t="inlineStr">
        <is>
          <t>Loyer &amp; Charges</t>
        </is>
      </c>
      <c r="E389" s="38" t="n">
        <v>10000</v>
      </c>
      <c r="F389" s="38" t="n">
        <v>9055</v>
      </c>
      <c r="G389" s="39">
        <f>F389-E389</f>
        <v/>
      </c>
      <c r="H389" s="40">
        <f>IF(E389=0,0,(F389-E389)/E389)</f>
        <v/>
      </c>
      <c r="I389" s="41">
        <f>IF(H389&gt;0.1,"⚠️ Dépassement",IF(H389&lt;-0.1,"✅ Économie","🔵 Normal"))</f>
        <v/>
      </c>
      <c r="J389" s="38">
        <f>SUMPRODUCT((B$3:B389=B389)*(C$3:C389=C389)*(D$3:D389=D389)*E$3:E389)</f>
        <v/>
      </c>
      <c r="K389" s="38">
        <f>SUMPRODUCT((B$3:B389=B389)*(C$3:C389=C389)*(D$3:D389=D389)*F$3:F389)</f>
        <v/>
      </c>
      <c r="L389" s="42">
        <f>IF(J389=0,0,K389/J389)</f>
        <v/>
      </c>
    </row>
    <row r="390">
      <c r="A390" s="23" t="inlineStr">
        <is>
          <t>Octobre</t>
        </is>
      </c>
      <c r="B390" s="23" t="n">
        <v>10</v>
      </c>
      <c r="C390" s="23" t="inlineStr">
        <is>
          <t>IT</t>
        </is>
      </c>
      <c r="D390" s="23" t="inlineStr">
        <is>
          <t>Matières &amp; Fournitures</t>
        </is>
      </c>
      <c r="E390" s="21" t="n">
        <v>20000</v>
      </c>
      <c r="F390" s="21" t="n">
        <v>20185</v>
      </c>
      <c r="G390" s="39">
        <f>F390-E390</f>
        <v/>
      </c>
      <c r="H390" s="40">
        <f>IF(E390=0,0,(F390-E390)/E390)</f>
        <v/>
      </c>
      <c r="I390" s="41">
        <f>IF(H390&gt;0.1,"⚠️ Dépassement",IF(H390&lt;-0.1,"✅ Économie","🔵 Normal"))</f>
        <v/>
      </c>
      <c r="J390" s="21">
        <f>SUMPRODUCT((B$3:B390=B390)*(C$3:C390=C390)*(D$3:D390=D390)*E$3:E390)</f>
        <v/>
      </c>
      <c r="K390" s="21">
        <f>SUMPRODUCT((B$3:B390=B390)*(C$3:C390=C390)*(D$3:D390=D390)*F$3:F390)</f>
        <v/>
      </c>
      <c r="L390" s="22">
        <f>IF(J390=0,0,K390/J390)</f>
        <v/>
      </c>
    </row>
    <row r="391">
      <c r="A391" s="37" t="inlineStr">
        <is>
          <t>Octobre</t>
        </is>
      </c>
      <c r="B391" s="37" t="n">
        <v>10</v>
      </c>
      <c r="C391" s="37" t="inlineStr">
        <is>
          <t>IT</t>
        </is>
      </c>
      <c r="D391" s="37" t="inlineStr">
        <is>
          <t>Informatique &amp; Licences</t>
        </is>
      </c>
      <c r="E391" s="38" t="n">
        <v>50000</v>
      </c>
      <c r="F391" s="38" t="n">
        <v>59024</v>
      </c>
      <c r="G391" s="39">
        <f>F391-E391</f>
        <v/>
      </c>
      <c r="H391" s="40">
        <f>IF(E391=0,0,(F391-E391)/E391)</f>
        <v/>
      </c>
      <c r="I391" s="41">
        <f>IF(H391&gt;0.1,"⚠️ Dépassement",IF(H391&lt;-0.1,"✅ Économie","🔵 Normal"))</f>
        <v/>
      </c>
      <c r="J391" s="38">
        <f>SUMPRODUCT((B$3:B391=B391)*(C$3:C391=C391)*(D$3:D391=D391)*E$3:E391)</f>
        <v/>
      </c>
      <c r="K391" s="38">
        <f>SUMPRODUCT((B$3:B391=B391)*(C$3:C391=C391)*(D$3:D391=D391)*F$3:F391)</f>
        <v/>
      </c>
      <c r="L391" s="42">
        <f>IF(J391=0,0,K391/J391)</f>
        <v/>
      </c>
    </row>
    <row r="392">
      <c r="A392" s="23" t="inlineStr">
        <is>
          <t>Octobre</t>
        </is>
      </c>
      <c r="B392" s="23" t="n">
        <v>10</v>
      </c>
      <c r="C392" s="23" t="inlineStr">
        <is>
          <t>IT</t>
        </is>
      </c>
      <c r="D392" s="23" t="inlineStr">
        <is>
          <t>Déplacements &amp; Missions</t>
        </is>
      </c>
      <c r="E392" s="21" t="n">
        <v>8000</v>
      </c>
      <c r="F392" s="21" t="n">
        <v>9107</v>
      </c>
      <c r="G392" s="39">
        <f>F392-E392</f>
        <v/>
      </c>
      <c r="H392" s="40">
        <f>IF(E392=0,0,(F392-E392)/E392)</f>
        <v/>
      </c>
      <c r="I392" s="41">
        <f>IF(H392&gt;0.1,"⚠️ Dépassement",IF(H392&lt;-0.1,"✅ Économie","🔵 Normal"))</f>
        <v/>
      </c>
      <c r="J392" s="21">
        <f>SUMPRODUCT((B$3:B392=B392)*(C$3:C392=C392)*(D$3:D392=D392)*E$3:E392)</f>
        <v/>
      </c>
      <c r="K392" s="21">
        <f>SUMPRODUCT((B$3:B392=B392)*(C$3:C392=C392)*(D$3:D392=D392)*F$3:F392)</f>
        <v/>
      </c>
      <c r="L392" s="22">
        <f>IF(J392=0,0,K392/J392)</f>
        <v/>
      </c>
    </row>
    <row r="393">
      <c r="A393" s="37" t="inlineStr">
        <is>
          <t>Octobre</t>
        </is>
      </c>
      <c r="B393" s="37" t="n">
        <v>10</v>
      </c>
      <c r="C393" s="37" t="inlineStr">
        <is>
          <t>IT</t>
        </is>
      </c>
      <c r="D393" s="37" t="inlineStr">
        <is>
          <t>Formation</t>
        </is>
      </c>
      <c r="E393" s="38" t="n">
        <v>18000</v>
      </c>
      <c r="F393" s="38" t="n">
        <v>15982</v>
      </c>
      <c r="G393" s="39">
        <f>F393-E393</f>
        <v/>
      </c>
      <c r="H393" s="40">
        <f>IF(E393=0,0,(F393-E393)/E393)</f>
        <v/>
      </c>
      <c r="I393" s="41">
        <f>IF(H393&gt;0.1,"⚠️ Dépassement",IF(H393&lt;-0.1,"✅ Économie","🔵 Normal"))</f>
        <v/>
      </c>
      <c r="J393" s="38">
        <f>SUMPRODUCT((B$3:B393=B393)*(C$3:C393=C393)*(D$3:D393=D393)*E$3:E393)</f>
        <v/>
      </c>
      <c r="K393" s="38">
        <f>SUMPRODUCT((B$3:B393=B393)*(C$3:C393=C393)*(D$3:D393=D393)*F$3:F393)</f>
        <v/>
      </c>
      <c r="L393" s="42">
        <f>IF(J393=0,0,K393/J393)</f>
        <v/>
      </c>
    </row>
    <row r="394">
      <c r="A394" s="23" t="inlineStr">
        <is>
          <t>Octobre</t>
        </is>
      </c>
      <c r="B394" s="23" t="n">
        <v>10</v>
      </c>
      <c r="C394" s="23" t="inlineStr">
        <is>
          <t>IT</t>
        </is>
      </c>
      <c r="D394" s="23" t="inlineStr">
        <is>
          <t>Publicité &amp; Communication</t>
        </is>
      </c>
      <c r="E394" s="21" t="n">
        <v>4000</v>
      </c>
      <c r="F394" s="21" t="n">
        <v>3416</v>
      </c>
      <c r="G394" s="39">
        <f>F394-E394</f>
        <v/>
      </c>
      <c r="H394" s="40">
        <f>IF(E394=0,0,(F394-E394)/E394)</f>
        <v/>
      </c>
      <c r="I394" s="41">
        <f>IF(H394&gt;0.1,"⚠️ Dépassement",IF(H394&lt;-0.1,"✅ Économie","🔵 Normal"))</f>
        <v/>
      </c>
      <c r="J394" s="21">
        <f>SUMPRODUCT((B$3:B394=B394)*(C$3:C394=C394)*(D$3:D394=D394)*E$3:E394)</f>
        <v/>
      </c>
      <c r="K394" s="21">
        <f>SUMPRODUCT((B$3:B394=B394)*(C$3:C394=C394)*(D$3:D394=D394)*F$3:F394)</f>
        <v/>
      </c>
      <c r="L394" s="22">
        <f>IF(J394=0,0,K394/J394)</f>
        <v/>
      </c>
    </row>
    <row r="395">
      <c r="A395" s="37" t="inlineStr">
        <is>
          <t>Octobre</t>
        </is>
      </c>
      <c r="B395" s="37" t="n">
        <v>10</v>
      </c>
      <c r="C395" s="37" t="inlineStr">
        <is>
          <t>Administration</t>
        </is>
      </c>
      <c r="D395" s="37" t="inlineStr">
        <is>
          <t>Salaires</t>
        </is>
      </c>
      <c r="E395" s="38" t="n">
        <v>75000</v>
      </c>
      <c r="F395" s="38" t="n">
        <v>76964</v>
      </c>
      <c r="G395" s="39">
        <f>F395-E395</f>
        <v/>
      </c>
      <c r="H395" s="40">
        <f>IF(E395=0,0,(F395-E395)/E395)</f>
        <v/>
      </c>
      <c r="I395" s="41">
        <f>IF(H395&gt;0.1,"⚠️ Dépassement",IF(H395&lt;-0.1,"✅ Économie","🔵 Normal"))</f>
        <v/>
      </c>
      <c r="J395" s="38">
        <f>SUMPRODUCT((B$3:B395=B395)*(C$3:C395=C395)*(D$3:D395=D395)*E$3:E395)</f>
        <v/>
      </c>
      <c r="K395" s="38">
        <f>SUMPRODUCT((B$3:B395=B395)*(C$3:C395=C395)*(D$3:D395=D395)*F$3:F395)</f>
        <v/>
      </c>
      <c r="L395" s="42">
        <f>IF(J395=0,0,K395/J395)</f>
        <v/>
      </c>
    </row>
    <row r="396">
      <c r="A396" s="23" t="inlineStr">
        <is>
          <t>Octobre</t>
        </is>
      </c>
      <c r="B396" s="23" t="n">
        <v>10</v>
      </c>
      <c r="C396" s="23" t="inlineStr">
        <is>
          <t>Administration</t>
        </is>
      </c>
      <c r="D396" s="23" t="inlineStr">
        <is>
          <t>Charges sociales</t>
        </is>
      </c>
      <c r="E396" s="21" t="n">
        <v>22500</v>
      </c>
      <c r="F396" s="21" t="n">
        <v>24146</v>
      </c>
      <c r="G396" s="39">
        <f>F396-E396</f>
        <v/>
      </c>
      <c r="H396" s="40">
        <f>IF(E396=0,0,(F396-E396)/E396)</f>
        <v/>
      </c>
      <c r="I396" s="41">
        <f>IF(H396&gt;0.1,"⚠️ Dépassement",IF(H396&lt;-0.1,"✅ Économie","🔵 Normal"))</f>
        <v/>
      </c>
      <c r="J396" s="21">
        <f>SUMPRODUCT((B$3:B396=B396)*(C$3:C396=C396)*(D$3:D396=D396)*E$3:E396)</f>
        <v/>
      </c>
      <c r="K396" s="21">
        <f>SUMPRODUCT((B$3:B396=B396)*(C$3:C396=C396)*(D$3:D396=D396)*F$3:F396)</f>
        <v/>
      </c>
      <c r="L396" s="22">
        <f>IF(J396=0,0,K396/J396)</f>
        <v/>
      </c>
    </row>
    <row r="397">
      <c r="A397" s="37" t="inlineStr">
        <is>
          <t>Octobre</t>
        </is>
      </c>
      <c r="B397" s="37" t="n">
        <v>10</v>
      </c>
      <c r="C397" s="37" t="inlineStr">
        <is>
          <t>Administration</t>
        </is>
      </c>
      <c r="D397" s="37" t="inlineStr">
        <is>
          <t>Loyer &amp; Charges</t>
        </is>
      </c>
      <c r="E397" s="38" t="n">
        <v>18000</v>
      </c>
      <c r="F397" s="38" t="n">
        <v>17173</v>
      </c>
      <c r="G397" s="39">
        <f>F397-E397</f>
        <v/>
      </c>
      <c r="H397" s="40">
        <f>IF(E397=0,0,(F397-E397)/E397)</f>
        <v/>
      </c>
      <c r="I397" s="41">
        <f>IF(H397&gt;0.1,"⚠️ Dépassement",IF(H397&lt;-0.1,"✅ Économie","🔵 Normal"))</f>
        <v/>
      </c>
      <c r="J397" s="38">
        <f>SUMPRODUCT((B$3:B397=B397)*(C$3:C397=C397)*(D$3:D397=D397)*E$3:E397)</f>
        <v/>
      </c>
      <c r="K397" s="38">
        <f>SUMPRODUCT((B$3:B397=B397)*(C$3:C397=C397)*(D$3:D397=D397)*F$3:F397)</f>
        <v/>
      </c>
      <c r="L397" s="42">
        <f>IF(J397=0,0,K397/J397)</f>
        <v/>
      </c>
    </row>
    <row r="398">
      <c r="A398" s="23" t="inlineStr">
        <is>
          <t>Octobre</t>
        </is>
      </c>
      <c r="B398" s="23" t="n">
        <v>10</v>
      </c>
      <c r="C398" s="23" t="inlineStr">
        <is>
          <t>Administration</t>
        </is>
      </c>
      <c r="D398" s="23" t="inlineStr">
        <is>
          <t>Matières &amp; Fournitures</t>
        </is>
      </c>
      <c r="E398" s="21" t="n">
        <v>12000</v>
      </c>
      <c r="F398" s="21" t="n">
        <v>13768</v>
      </c>
      <c r="G398" s="39">
        <f>F398-E398</f>
        <v/>
      </c>
      <c r="H398" s="40">
        <f>IF(E398=0,0,(F398-E398)/E398)</f>
        <v/>
      </c>
      <c r="I398" s="41">
        <f>IF(H398&gt;0.1,"⚠️ Dépassement",IF(H398&lt;-0.1,"✅ Économie","🔵 Normal"))</f>
        <v/>
      </c>
      <c r="J398" s="21">
        <f>SUMPRODUCT((B$3:B398=B398)*(C$3:C398=C398)*(D$3:D398=D398)*E$3:E398)</f>
        <v/>
      </c>
      <c r="K398" s="21">
        <f>SUMPRODUCT((B$3:B398=B398)*(C$3:C398=C398)*(D$3:D398=D398)*F$3:F398)</f>
        <v/>
      </c>
      <c r="L398" s="22">
        <f>IF(J398=0,0,K398/J398)</f>
        <v/>
      </c>
    </row>
    <row r="399">
      <c r="A399" s="37" t="inlineStr">
        <is>
          <t>Octobre</t>
        </is>
      </c>
      <c r="B399" s="37" t="n">
        <v>10</v>
      </c>
      <c r="C399" s="37" t="inlineStr">
        <is>
          <t>Administration</t>
        </is>
      </c>
      <c r="D399" s="37" t="inlineStr">
        <is>
          <t>Informatique &amp; Licences</t>
        </is>
      </c>
      <c r="E399" s="38" t="n">
        <v>6000</v>
      </c>
      <c r="F399" s="38" t="n">
        <v>6723</v>
      </c>
      <c r="G399" s="39">
        <f>F399-E399</f>
        <v/>
      </c>
      <c r="H399" s="40">
        <f>IF(E399=0,0,(F399-E399)/E399)</f>
        <v/>
      </c>
      <c r="I399" s="41">
        <f>IF(H399&gt;0.1,"⚠️ Dépassement",IF(H399&lt;-0.1,"✅ Économie","🔵 Normal"))</f>
        <v/>
      </c>
      <c r="J399" s="38">
        <f>SUMPRODUCT((B$3:B399=B399)*(C$3:C399=C399)*(D$3:D399=D399)*E$3:E399)</f>
        <v/>
      </c>
      <c r="K399" s="38">
        <f>SUMPRODUCT((B$3:B399=B399)*(C$3:C399=C399)*(D$3:D399=D399)*F$3:F399)</f>
        <v/>
      </c>
      <c r="L399" s="42">
        <f>IF(J399=0,0,K399/J399)</f>
        <v/>
      </c>
    </row>
    <row r="400">
      <c r="A400" s="23" t="inlineStr">
        <is>
          <t>Octobre</t>
        </is>
      </c>
      <c r="B400" s="23" t="n">
        <v>10</v>
      </c>
      <c r="C400" s="23" t="inlineStr">
        <is>
          <t>Administration</t>
        </is>
      </c>
      <c r="D400" s="23" t="inlineStr">
        <is>
          <t>Déplacements &amp; Missions</t>
        </is>
      </c>
      <c r="E400" s="21" t="n">
        <v>9000</v>
      </c>
      <c r="F400" s="21" t="n">
        <v>9802</v>
      </c>
      <c r="G400" s="39">
        <f>F400-E400</f>
        <v/>
      </c>
      <c r="H400" s="40">
        <f>IF(E400=0,0,(F400-E400)/E400)</f>
        <v/>
      </c>
      <c r="I400" s="41">
        <f>IF(H400&gt;0.1,"⚠️ Dépassement",IF(H400&lt;-0.1,"✅ Économie","🔵 Normal"))</f>
        <v/>
      </c>
      <c r="J400" s="21">
        <f>SUMPRODUCT((B$3:B400=B400)*(C$3:C400=C400)*(D$3:D400=D400)*E$3:E400)</f>
        <v/>
      </c>
      <c r="K400" s="21">
        <f>SUMPRODUCT((B$3:B400=B400)*(C$3:C400=C400)*(D$3:D400=D400)*F$3:F400)</f>
        <v/>
      </c>
      <c r="L400" s="22">
        <f>IF(J400=0,0,K400/J400)</f>
        <v/>
      </c>
    </row>
    <row r="401">
      <c r="A401" s="37" t="inlineStr">
        <is>
          <t>Octobre</t>
        </is>
      </c>
      <c r="B401" s="37" t="n">
        <v>10</v>
      </c>
      <c r="C401" s="37" t="inlineStr">
        <is>
          <t>Administration</t>
        </is>
      </c>
      <c r="D401" s="37" t="inlineStr">
        <is>
          <t>Formation</t>
        </is>
      </c>
      <c r="E401" s="38" t="n">
        <v>5000</v>
      </c>
      <c r="F401" s="38" t="n">
        <v>4549</v>
      </c>
      <c r="G401" s="39">
        <f>F401-E401</f>
        <v/>
      </c>
      <c r="H401" s="40">
        <f>IF(E401=0,0,(F401-E401)/E401)</f>
        <v/>
      </c>
      <c r="I401" s="41">
        <f>IF(H401&gt;0.1,"⚠️ Dépassement",IF(H401&lt;-0.1,"✅ Économie","🔵 Normal"))</f>
        <v/>
      </c>
      <c r="J401" s="38">
        <f>SUMPRODUCT((B$3:B401=B401)*(C$3:C401=C401)*(D$3:D401=D401)*E$3:E401)</f>
        <v/>
      </c>
      <c r="K401" s="38">
        <f>SUMPRODUCT((B$3:B401=B401)*(C$3:C401=C401)*(D$3:D401=D401)*F$3:F401)</f>
        <v/>
      </c>
      <c r="L401" s="42">
        <f>IF(J401=0,0,K401/J401)</f>
        <v/>
      </c>
    </row>
    <row r="402">
      <c r="A402" s="23" t="inlineStr">
        <is>
          <t>Octobre</t>
        </is>
      </c>
      <c r="B402" s="23" t="n">
        <v>10</v>
      </c>
      <c r="C402" s="23" t="inlineStr">
        <is>
          <t>Administration</t>
        </is>
      </c>
      <c r="D402" s="23" t="inlineStr">
        <is>
          <t>Publicité &amp; Communication</t>
        </is>
      </c>
      <c r="E402" s="21" t="n">
        <v>2000</v>
      </c>
      <c r="F402" s="21" t="n">
        <v>1799</v>
      </c>
      <c r="G402" s="39">
        <f>F402-E402</f>
        <v/>
      </c>
      <c r="H402" s="40">
        <f>IF(E402=0,0,(F402-E402)/E402)</f>
        <v/>
      </c>
      <c r="I402" s="41">
        <f>IF(H402&gt;0.1,"⚠️ Dépassement",IF(H402&lt;-0.1,"✅ Économie","🔵 Normal"))</f>
        <v/>
      </c>
      <c r="J402" s="21">
        <f>SUMPRODUCT((B$3:B402=B402)*(C$3:C402=C402)*(D$3:D402=D402)*E$3:E402)</f>
        <v/>
      </c>
      <c r="K402" s="21">
        <f>SUMPRODUCT((B$3:B402=B402)*(C$3:C402=C402)*(D$3:D402=D402)*F$3:F402)</f>
        <v/>
      </c>
      <c r="L402" s="22">
        <f>IF(J402=0,0,K402/J402)</f>
        <v/>
      </c>
    </row>
    <row r="403">
      <c r="A403" s="37" t="inlineStr">
        <is>
          <t>Novembre</t>
        </is>
      </c>
      <c r="B403" s="37" t="n">
        <v>11</v>
      </c>
      <c r="C403" s="37" t="inlineStr">
        <is>
          <t>RH</t>
        </is>
      </c>
      <c r="D403" s="37" t="inlineStr">
        <is>
          <t>Salaires</t>
        </is>
      </c>
      <c r="E403" s="38" t="n">
        <v>180000</v>
      </c>
      <c r="F403" s="38" t="n">
        <v>194766</v>
      </c>
      <c r="G403" s="39">
        <f>F403-E403</f>
        <v/>
      </c>
      <c r="H403" s="40">
        <f>IF(E403=0,0,(F403-E403)/E403)</f>
        <v/>
      </c>
      <c r="I403" s="41">
        <f>IF(H403&gt;0.1,"⚠️ Dépassement",IF(H403&lt;-0.1,"✅ Économie","🔵 Normal"))</f>
        <v/>
      </c>
      <c r="J403" s="38">
        <f>SUMPRODUCT((B$3:B403=B403)*(C$3:C403=C403)*(D$3:D403=D403)*E$3:E403)</f>
        <v/>
      </c>
      <c r="K403" s="38">
        <f>SUMPRODUCT((B$3:B403=B403)*(C$3:C403=C403)*(D$3:D403=D403)*F$3:F403)</f>
        <v/>
      </c>
      <c r="L403" s="42">
        <f>IF(J403=0,0,K403/J403)</f>
        <v/>
      </c>
    </row>
    <row r="404">
      <c r="A404" s="23" t="inlineStr">
        <is>
          <t>Novembre</t>
        </is>
      </c>
      <c r="B404" s="23" t="n">
        <v>11</v>
      </c>
      <c r="C404" s="23" t="inlineStr">
        <is>
          <t>RH</t>
        </is>
      </c>
      <c r="D404" s="23" t="inlineStr">
        <is>
          <t>Charges sociales</t>
        </is>
      </c>
      <c r="E404" s="21" t="n">
        <v>54000</v>
      </c>
      <c r="F404" s="21" t="n">
        <v>54543</v>
      </c>
      <c r="G404" s="39">
        <f>F404-E404</f>
        <v/>
      </c>
      <c r="H404" s="40">
        <f>IF(E404=0,0,(F404-E404)/E404)</f>
        <v/>
      </c>
      <c r="I404" s="41">
        <f>IF(H404&gt;0.1,"⚠️ Dépassement",IF(H404&lt;-0.1,"✅ Économie","🔵 Normal"))</f>
        <v/>
      </c>
      <c r="J404" s="21">
        <f>SUMPRODUCT((B$3:B404=B404)*(C$3:C404=C404)*(D$3:D404=D404)*E$3:E404)</f>
        <v/>
      </c>
      <c r="K404" s="21">
        <f>SUMPRODUCT((B$3:B404=B404)*(C$3:C404=C404)*(D$3:D404=D404)*F$3:F404)</f>
        <v/>
      </c>
      <c r="L404" s="22">
        <f>IF(J404=0,0,K404/J404)</f>
        <v/>
      </c>
    </row>
    <row r="405">
      <c r="A405" s="37" t="inlineStr">
        <is>
          <t>Novembre</t>
        </is>
      </c>
      <c r="B405" s="37" t="n">
        <v>11</v>
      </c>
      <c r="C405" s="37" t="inlineStr">
        <is>
          <t>RH</t>
        </is>
      </c>
      <c r="D405" s="37" t="inlineStr">
        <is>
          <t>Loyer &amp; Charges</t>
        </is>
      </c>
      <c r="E405" s="38" t="n">
        <v>15000</v>
      </c>
      <c r="F405" s="38" t="n">
        <v>17398</v>
      </c>
      <c r="G405" s="39">
        <f>F405-E405</f>
        <v/>
      </c>
      <c r="H405" s="40">
        <f>IF(E405=0,0,(F405-E405)/E405)</f>
        <v/>
      </c>
      <c r="I405" s="41">
        <f>IF(H405&gt;0.1,"⚠️ Dépassement",IF(H405&lt;-0.1,"✅ Économie","🔵 Normal"))</f>
        <v/>
      </c>
      <c r="J405" s="38">
        <f>SUMPRODUCT((B$3:B405=B405)*(C$3:C405=C405)*(D$3:D405=D405)*E$3:E405)</f>
        <v/>
      </c>
      <c r="K405" s="38">
        <f>SUMPRODUCT((B$3:B405=B405)*(C$3:C405=C405)*(D$3:D405=D405)*F$3:F405)</f>
        <v/>
      </c>
      <c r="L405" s="42">
        <f>IF(J405=0,0,K405/J405)</f>
        <v/>
      </c>
    </row>
    <row r="406">
      <c r="A406" s="23" t="inlineStr">
        <is>
          <t>Novembre</t>
        </is>
      </c>
      <c r="B406" s="23" t="n">
        <v>11</v>
      </c>
      <c r="C406" s="23" t="inlineStr">
        <is>
          <t>RH</t>
        </is>
      </c>
      <c r="D406" s="23" t="inlineStr">
        <is>
          <t>Matières &amp; Fournitures</t>
        </is>
      </c>
      <c r="E406" s="21" t="n">
        <v>8000</v>
      </c>
      <c r="F406" s="21" t="n">
        <v>6793</v>
      </c>
      <c r="G406" s="39">
        <f>F406-E406</f>
        <v/>
      </c>
      <c r="H406" s="40">
        <f>IF(E406=0,0,(F406-E406)/E406)</f>
        <v/>
      </c>
      <c r="I406" s="41">
        <f>IF(H406&gt;0.1,"⚠️ Dépassement",IF(H406&lt;-0.1,"✅ Économie","🔵 Normal"))</f>
        <v/>
      </c>
      <c r="J406" s="21">
        <f>SUMPRODUCT((B$3:B406=B406)*(C$3:C406=C406)*(D$3:D406=D406)*E$3:E406)</f>
        <v/>
      </c>
      <c r="K406" s="21">
        <f>SUMPRODUCT((B$3:B406=B406)*(C$3:C406=C406)*(D$3:D406=D406)*F$3:F406)</f>
        <v/>
      </c>
      <c r="L406" s="22">
        <f>IF(J406=0,0,K406/J406)</f>
        <v/>
      </c>
    </row>
    <row r="407">
      <c r="A407" s="37" t="inlineStr">
        <is>
          <t>Novembre</t>
        </is>
      </c>
      <c r="B407" s="37" t="n">
        <v>11</v>
      </c>
      <c r="C407" s="37" t="inlineStr">
        <is>
          <t>RH</t>
        </is>
      </c>
      <c r="D407" s="37" t="inlineStr">
        <is>
          <t>Informatique &amp; Licences</t>
        </is>
      </c>
      <c r="E407" s="38" t="n">
        <v>5000</v>
      </c>
      <c r="F407" s="38" t="n">
        <v>4929</v>
      </c>
      <c r="G407" s="39">
        <f>F407-E407</f>
        <v/>
      </c>
      <c r="H407" s="40">
        <f>IF(E407=0,0,(F407-E407)/E407)</f>
        <v/>
      </c>
      <c r="I407" s="41">
        <f>IF(H407&gt;0.1,"⚠️ Dépassement",IF(H407&lt;-0.1,"✅ Économie","🔵 Normal"))</f>
        <v/>
      </c>
      <c r="J407" s="38">
        <f>SUMPRODUCT((B$3:B407=B407)*(C$3:C407=C407)*(D$3:D407=D407)*E$3:E407)</f>
        <v/>
      </c>
      <c r="K407" s="38">
        <f>SUMPRODUCT((B$3:B407=B407)*(C$3:C407=C407)*(D$3:D407=D407)*F$3:F407)</f>
        <v/>
      </c>
      <c r="L407" s="42">
        <f>IF(J407=0,0,K407/J407)</f>
        <v/>
      </c>
    </row>
    <row r="408">
      <c r="A408" s="23" t="inlineStr">
        <is>
          <t>Novembre</t>
        </is>
      </c>
      <c r="B408" s="23" t="n">
        <v>11</v>
      </c>
      <c r="C408" s="23" t="inlineStr">
        <is>
          <t>RH</t>
        </is>
      </c>
      <c r="D408" s="23" t="inlineStr">
        <is>
          <t>Déplacements &amp; Missions</t>
        </is>
      </c>
      <c r="E408" s="21" t="n">
        <v>7000</v>
      </c>
      <c r="F408" s="21" t="n">
        <v>7503</v>
      </c>
      <c r="G408" s="39">
        <f>F408-E408</f>
        <v/>
      </c>
      <c r="H408" s="40">
        <f>IF(E408=0,0,(F408-E408)/E408)</f>
        <v/>
      </c>
      <c r="I408" s="41">
        <f>IF(H408&gt;0.1,"⚠️ Dépassement",IF(H408&lt;-0.1,"✅ Économie","🔵 Normal"))</f>
        <v/>
      </c>
      <c r="J408" s="21">
        <f>SUMPRODUCT((B$3:B408=B408)*(C$3:C408=C408)*(D$3:D408=D408)*E$3:E408)</f>
        <v/>
      </c>
      <c r="K408" s="21">
        <f>SUMPRODUCT((B$3:B408=B408)*(C$3:C408=C408)*(D$3:D408=D408)*F$3:F408)</f>
        <v/>
      </c>
      <c r="L408" s="22">
        <f>IF(J408=0,0,K408/J408)</f>
        <v/>
      </c>
    </row>
    <row r="409">
      <c r="A409" s="37" t="inlineStr">
        <is>
          <t>Novembre</t>
        </is>
      </c>
      <c r="B409" s="37" t="n">
        <v>11</v>
      </c>
      <c r="C409" s="37" t="inlineStr">
        <is>
          <t>RH</t>
        </is>
      </c>
      <c r="D409" s="37" t="inlineStr">
        <is>
          <t>Formation</t>
        </is>
      </c>
      <c r="E409" s="38" t="n">
        <v>20000</v>
      </c>
      <c r="F409" s="38" t="n">
        <v>17955</v>
      </c>
      <c r="G409" s="39">
        <f>F409-E409</f>
        <v/>
      </c>
      <c r="H409" s="40">
        <f>IF(E409=0,0,(F409-E409)/E409)</f>
        <v/>
      </c>
      <c r="I409" s="41">
        <f>IF(H409&gt;0.1,"⚠️ Dépassement",IF(H409&lt;-0.1,"✅ Économie","🔵 Normal"))</f>
        <v/>
      </c>
      <c r="J409" s="38">
        <f>SUMPRODUCT((B$3:B409=B409)*(C$3:C409=C409)*(D$3:D409=D409)*E$3:E409)</f>
        <v/>
      </c>
      <c r="K409" s="38">
        <f>SUMPRODUCT((B$3:B409=B409)*(C$3:C409=C409)*(D$3:D409=D409)*F$3:F409)</f>
        <v/>
      </c>
      <c r="L409" s="42">
        <f>IF(J409=0,0,K409/J409)</f>
        <v/>
      </c>
    </row>
    <row r="410">
      <c r="A410" s="23" t="inlineStr">
        <is>
          <t>Novembre</t>
        </is>
      </c>
      <c r="B410" s="23" t="n">
        <v>11</v>
      </c>
      <c r="C410" s="23" t="inlineStr">
        <is>
          <t>RH</t>
        </is>
      </c>
      <c r="D410" s="23" t="inlineStr">
        <is>
          <t>Publicité &amp; Communication</t>
        </is>
      </c>
      <c r="E410" s="21" t="n">
        <v>3000</v>
      </c>
      <c r="F410" s="21" t="n">
        <v>3296</v>
      </c>
      <c r="G410" s="39">
        <f>F410-E410</f>
        <v/>
      </c>
      <c r="H410" s="40">
        <f>IF(E410=0,0,(F410-E410)/E410)</f>
        <v/>
      </c>
      <c r="I410" s="41">
        <f>IF(H410&gt;0.1,"⚠️ Dépassement",IF(H410&lt;-0.1,"✅ Économie","🔵 Normal"))</f>
        <v/>
      </c>
      <c r="J410" s="21">
        <f>SUMPRODUCT((B$3:B410=B410)*(C$3:C410=C410)*(D$3:D410=D410)*E$3:E410)</f>
        <v/>
      </c>
      <c r="K410" s="21">
        <f>SUMPRODUCT((B$3:B410=B410)*(C$3:C410=C410)*(D$3:D410=D410)*F$3:F410)</f>
        <v/>
      </c>
      <c r="L410" s="22">
        <f>IF(J410=0,0,K410/J410)</f>
        <v/>
      </c>
    </row>
    <row r="411">
      <c r="A411" s="37" t="inlineStr">
        <is>
          <t>Novembre</t>
        </is>
      </c>
      <c r="B411" s="37" t="n">
        <v>11</v>
      </c>
      <c r="C411" s="37" t="inlineStr">
        <is>
          <t>Marketing</t>
        </is>
      </c>
      <c r="D411" s="37" t="inlineStr">
        <is>
          <t>Salaires</t>
        </is>
      </c>
      <c r="E411" s="38" t="n">
        <v>95000</v>
      </c>
      <c r="F411" s="38" t="n">
        <v>102786</v>
      </c>
      <c r="G411" s="39">
        <f>F411-E411</f>
        <v/>
      </c>
      <c r="H411" s="40">
        <f>IF(E411=0,0,(F411-E411)/E411)</f>
        <v/>
      </c>
      <c r="I411" s="41">
        <f>IF(H411&gt;0.1,"⚠️ Dépassement",IF(H411&lt;-0.1,"✅ Économie","🔵 Normal"))</f>
        <v/>
      </c>
      <c r="J411" s="38">
        <f>SUMPRODUCT((B$3:B411=B411)*(C$3:C411=C411)*(D$3:D411=D411)*E$3:E411)</f>
        <v/>
      </c>
      <c r="K411" s="38">
        <f>SUMPRODUCT((B$3:B411=B411)*(C$3:C411=C411)*(D$3:D411=D411)*F$3:F411)</f>
        <v/>
      </c>
      <c r="L411" s="42">
        <f>IF(J411=0,0,K411/J411)</f>
        <v/>
      </c>
    </row>
    <row r="412">
      <c r="A412" s="23" t="inlineStr">
        <is>
          <t>Novembre</t>
        </is>
      </c>
      <c r="B412" s="23" t="n">
        <v>11</v>
      </c>
      <c r="C412" s="23" t="inlineStr">
        <is>
          <t>Marketing</t>
        </is>
      </c>
      <c r="D412" s="23" t="inlineStr">
        <is>
          <t>Charges sociales</t>
        </is>
      </c>
      <c r="E412" s="21" t="n">
        <v>28500</v>
      </c>
      <c r="F412" s="21" t="n">
        <v>30849</v>
      </c>
      <c r="G412" s="39">
        <f>F412-E412</f>
        <v/>
      </c>
      <c r="H412" s="40">
        <f>IF(E412=0,0,(F412-E412)/E412)</f>
        <v/>
      </c>
      <c r="I412" s="41">
        <f>IF(H412&gt;0.1,"⚠️ Dépassement",IF(H412&lt;-0.1,"✅ Économie","🔵 Normal"))</f>
        <v/>
      </c>
      <c r="J412" s="21">
        <f>SUMPRODUCT((B$3:B412=B412)*(C$3:C412=C412)*(D$3:D412=D412)*E$3:E412)</f>
        <v/>
      </c>
      <c r="K412" s="21">
        <f>SUMPRODUCT((B$3:B412=B412)*(C$3:C412=C412)*(D$3:D412=D412)*F$3:F412)</f>
        <v/>
      </c>
      <c r="L412" s="22">
        <f>IF(J412=0,0,K412/J412)</f>
        <v/>
      </c>
    </row>
    <row r="413">
      <c r="A413" s="37" t="inlineStr">
        <is>
          <t>Novembre</t>
        </is>
      </c>
      <c r="B413" s="37" t="n">
        <v>11</v>
      </c>
      <c r="C413" s="37" t="inlineStr">
        <is>
          <t>Marketing</t>
        </is>
      </c>
      <c r="D413" s="37" t="inlineStr">
        <is>
          <t>Loyer &amp; Charges</t>
        </is>
      </c>
      <c r="E413" s="38" t="n">
        <v>12000</v>
      </c>
      <c r="F413" s="38" t="n">
        <v>9867</v>
      </c>
      <c r="G413" s="39">
        <f>F413-E413</f>
        <v/>
      </c>
      <c r="H413" s="40">
        <f>IF(E413=0,0,(F413-E413)/E413)</f>
        <v/>
      </c>
      <c r="I413" s="41">
        <f>IF(H413&gt;0.1,"⚠️ Dépassement",IF(H413&lt;-0.1,"✅ Économie","🔵 Normal"))</f>
        <v/>
      </c>
      <c r="J413" s="38">
        <f>SUMPRODUCT((B$3:B413=B413)*(C$3:C413=C413)*(D$3:D413=D413)*E$3:E413)</f>
        <v/>
      </c>
      <c r="K413" s="38">
        <f>SUMPRODUCT((B$3:B413=B413)*(C$3:C413=C413)*(D$3:D413=D413)*F$3:F413)</f>
        <v/>
      </c>
      <c r="L413" s="42">
        <f>IF(J413=0,0,K413/J413)</f>
        <v/>
      </c>
    </row>
    <row r="414">
      <c r="A414" s="23" t="inlineStr">
        <is>
          <t>Novembre</t>
        </is>
      </c>
      <c r="B414" s="23" t="n">
        <v>11</v>
      </c>
      <c r="C414" s="23" t="inlineStr">
        <is>
          <t>Marketing</t>
        </is>
      </c>
      <c r="D414" s="23" t="inlineStr">
        <is>
          <t>Matières &amp; Fournitures</t>
        </is>
      </c>
      <c r="E414" s="21" t="n">
        <v>6000</v>
      </c>
      <c r="F414" s="21" t="n">
        <v>6722</v>
      </c>
      <c r="G414" s="39">
        <f>F414-E414</f>
        <v/>
      </c>
      <c r="H414" s="40">
        <f>IF(E414=0,0,(F414-E414)/E414)</f>
        <v/>
      </c>
      <c r="I414" s="41">
        <f>IF(H414&gt;0.1,"⚠️ Dépassement",IF(H414&lt;-0.1,"✅ Économie","🔵 Normal"))</f>
        <v/>
      </c>
      <c r="J414" s="21">
        <f>SUMPRODUCT((B$3:B414=B414)*(C$3:C414=C414)*(D$3:D414=D414)*E$3:E414)</f>
        <v/>
      </c>
      <c r="K414" s="21">
        <f>SUMPRODUCT((B$3:B414=B414)*(C$3:C414=C414)*(D$3:D414=D414)*F$3:F414)</f>
        <v/>
      </c>
      <c r="L414" s="22">
        <f>IF(J414=0,0,K414/J414)</f>
        <v/>
      </c>
    </row>
    <row r="415">
      <c r="A415" s="37" t="inlineStr">
        <is>
          <t>Novembre</t>
        </is>
      </c>
      <c r="B415" s="37" t="n">
        <v>11</v>
      </c>
      <c r="C415" s="37" t="inlineStr">
        <is>
          <t>Marketing</t>
        </is>
      </c>
      <c r="D415" s="37" t="inlineStr">
        <is>
          <t>Informatique &amp; Licences</t>
        </is>
      </c>
      <c r="E415" s="38" t="n">
        <v>8000</v>
      </c>
      <c r="F415" s="38" t="n">
        <v>9024</v>
      </c>
      <c r="G415" s="39">
        <f>F415-E415</f>
        <v/>
      </c>
      <c r="H415" s="40">
        <f>IF(E415=0,0,(F415-E415)/E415)</f>
        <v/>
      </c>
      <c r="I415" s="41">
        <f>IF(H415&gt;0.1,"⚠️ Dépassement",IF(H415&lt;-0.1,"✅ Économie","🔵 Normal"))</f>
        <v/>
      </c>
      <c r="J415" s="38">
        <f>SUMPRODUCT((B$3:B415=B415)*(C$3:C415=C415)*(D$3:D415=D415)*E$3:E415)</f>
        <v/>
      </c>
      <c r="K415" s="38">
        <f>SUMPRODUCT((B$3:B415=B415)*(C$3:C415=C415)*(D$3:D415=D415)*F$3:F415)</f>
        <v/>
      </c>
      <c r="L415" s="42">
        <f>IF(J415=0,0,K415/J415)</f>
        <v/>
      </c>
    </row>
    <row r="416">
      <c r="A416" s="23" t="inlineStr">
        <is>
          <t>Novembre</t>
        </is>
      </c>
      <c r="B416" s="23" t="n">
        <v>11</v>
      </c>
      <c r="C416" s="23" t="inlineStr">
        <is>
          <t>Marketing</t>
        </is>
      </c>
      <c r="D416" s="23" t="inlineStr">
        <is>
          <t>Déplacements &amp; Missions</t>
        </is>
      </c>
      <c r="E416" s="21" t="n">
        <v>15000</v>
      </c>
      <c r="F416" s="21" t="n">
        <v>12940</v>
      </c>
      <c r="G416" s="39">
        <f>F416-E416</f>
        <v/>
      </c>
      <c r="H416" s="40">
        <f>IF(E416=0,0,(F416-E416)/E416)</f>
        <v/>
      </c>
      <c r="I416" s="41">
        <f>IF(H416&gt;0.1,"⚠️ Dépassement",IF(H416&lt;-0.1,"✅ Économie","🔵 Normal"))</f>
        <v/>
      </c>
      <c r="J416" s="21">
        <f>SUMPRODUCT((B$3:B416=B416)*(C$3:C416=C416)*(D$3:D416=D416)*E$3:E416)</f>
        <v/>
      </c>
      <c r="K416" s="21">
        <f>SUMPRODUCT((B$3:B416=B416)*(C$3:C416=C416)*(D$3:D416=D416)*F$3:F416)</f>
        <v/>
      </c>
      <c r="L416" s="22">
        <f>IF(J416=0,0,K416/J416)</f>
        <v/>
      </c>
    </row>
    <row r="417">
      <c r="A417" s="37" t="inlineStr">
        <is>
          <t>Novembre</t>
        </is>
      </c>
      <c r="B417" s="37" t="n">
        <v>11</v>
      </c>
      <c r="C417" s="37" t="inlineStr">
        <is>
          <t>Marketing</t>
        </is>
      </c>
      <c r="D417" s="37" t="inlineStr">
        <is>
          <t>Formation</t>
        </is>
      </c>
      <c r="E417" s="38" t="n">
        <v>8000</v>
      </c>
      <c r="F417" s="38" t="n">
        <v>7920</v>
      </c>
      <c r="G417" s="39">
        <f>F417-E417</f>
        <v/>
      </c>
      <c r="H417" s="40">
        <f>IF(E417=0,0,(F417-E417)/E417)</f>
        <v/>
      </c>
      <c r="I417" s="41">
        <f>IF(H417&gt;0.1,"⚠️ Dépassement",IF(H417&lt;-0.1,"✅ Économie","🔵 Normal"))</f>
        <v/>
      </c>
      <c r="J417" s="38">
        <f>SUMPRODUCT((B$3:B417=B417)*(C$3:C417=C417)*(D$3:D417=D417)*E$3:E417)</f>
        <v/>
      </c>
      <c r="K417" s="38">
        <f>SUMPRODUCT((B$3:B417=B417)*(C$3:C417=C417)*(D$3:D417=D417)*F$3:F417)</f>
        <v/>
      </c>
      <c r="L417" s="42">
        <f>IF(J417=0,0,K417/J417)</f>
        <v/>
      </c>
    </row>
    <row r="418">
      <c r="A418" s="23" t="inlineStr">
        <is>
          <t>Novembre</t>
        </is>
      </c>
      <c r="B418" s="23" t="n">
        <v>11</v>
      </c>
      <c r="C418" s="23" t="inlineStr">
        <is>
          <t>Marketing</t>
        </is>
      </c>
      <c r="D418" s="23" t="inlineStr">
        <is>
          <t>Publicité &amp; Communication</t>
        </is>
      </c>
      <c r="E418" s="21" t="n">
        <v>45000</v>
      </c>
      <c r="F418" s="21" t="n">
        <v>40066</v>
      </c>
      <c r="G418" s="39">
        <f>F418-E418</f>
        <v/>
      </c>
      <c r="H418" s="40">
        <f>IF(E418=0,0,(F418-E418)/E418)</f>
        <v/>
      </c>
      <c r="I418" s="41">
        <f>IF(H418&gt;0.1,"⚠️ Dépassement",IF(H418&lt;-0.1,"✅ Économie","🔵 Normal"))</f>
        <v/>
      </c>
      <c r="J418" s="21">
        <f>SUMPRODUCT((B$3:B418=B418)*(C$3:C418=C418)*(D$3:D418=D418)*E$3:E418)</f>
        <v/>
      </c>
      <c r="K418" s="21">
        <f>SUMPRODUCT((B$3:B418=B418)*(C$3:C418=C418)*(D$3:D418=D418)*F$3:F418)</f>
        <v/>
      </c>
      <c r="L418" s="22">
        <f>IF(J418=0,0,K418/J418)</f>
        <v/>
      </c>
    </row>
    <row r="419">
      <c r="A419" s="37" t="inlineStr">
        <is>
          <t>Novembre</t>
        </is>
      </c>
      <c r="B419" s="37" t="n">
        <v>11</v>
      </c>
      <c r="C419" s="37" t="inlineStr">
        <is>
          <t>Production</t>
        </is>
      </c>
      <c r="D419" s="37" t="inlineStr">
        <is>
          <t>Salaires</t>
        </is>
      </c>
      <c r="E419" s="38" t="n">
        <v>220000</v>
      </c>
      <c r="F419" s="38" t="n">
        <v>243456</v>
      </c>
      <c r="G419" s="39">
        <f>F419-E419</f>
        <v/>
      </c>
      <c r="H419" s="40">
        <f>IF(E419=0,0,(F419-E419)/E419)</f>
        <v/>
      </c>
      <c r="I419" s="41">
        <f>IF(H419&gt;0.1,"⚠️ Dépassement",IF(H419&lt;-0.1,"✅ Économie","🔵 Normal"))</f>
        <v/>
      </c>
      <c r="J419" s="38">
        <f>SUMPRODUCT((B$3:B419=B419)*(C$3:C419=C419)*(D$3:D419=D419)*E$3:E419)</f>
        <v/>
      </c>
      <c r="K419" s="38">
        <f>SUMPRODUCT((B$3:B419=B419)*(C$3:C419=C419)*(D$3:D419=D419)*F$3:F419)</f>
        <v/>
      </c>
      <c r="L419" s="42">
        <f>IF(J419=0,0,K419/J419)</f>
        <v/>
      </c>
    </row>
    <row r="420">
      <c r="A420" s="23" t="inlineStr">
        <is>
          <t>Novembre</t>
        </is>
      </c>
      <c r="B420" s="23" t="n">
        <v>11</v>
      </c>
      <c r="C420" s="23" t="inlineStr">
        <is>
          <t>Production</t>
        </is>
      </c>
      <c r="D420" s="23" t="inlineStr">
        <is>
          <t>Charges sociales</t>
        </is>
      </c>
      <c r="E420" s="21" t="n">
        <v>66000</v>
      </c>
      <c r="F420" s="21" t="n">
        <v>55446</v>
      </c>
      <c r="G420" s="39">
        <f>F420-E420</f>
        <v/>
      </c>
      <c r="H420" s="40">
        <f>IF(E420=0,0,(F420-E420)/E420)</f>
        <v/>
      </c>
      <c r="I420" s="41">
        <f>IF(H420&gt;0.1,"⚠️ Dépassement",IF(H420&lt;-0.1,"✅ Économie","🔵 Normal"))</f>
        <v/>
      </c>
      <c r="J420" s="21">
        <f>SUMPRODUCT((B$3:B420=B420)*(C$3:C420=C420)*(D$3:D420=D420)*E$3:E420)</f>
        <v/>
      </c>
      <c r="K420" s="21">
        <f>SUMPRODUCT((B$3:B420=B420)*(C$3:C420=C420)*(D$3:D420=D420)*F$3:F420)</f>
        <v/>
      </c>
      <c r="L420" s="22">
        <f>IF(J420=0,0,K420/J420)</f>
        <v/>
      </c>
    </row>
    <row r="421">
      <c r="A421" s="37" t="inlineStr">
        <is>
          <t>Novembre</t>
        </is>
      </c>
      <c r="B421" s="37" t="n">
        <v>11</v>
      </c>
      <c r="C421" s="37" t="inlineStr">
        <is>
          <t>Production</t>
        </is>
      </c>
      <c r="D421" s="37" t="inlineStr">
        <is>
          <t>Loyer &amp; Charges</t>
        </is>
      </c>
      <c r="E421" s="38" t="n">
        <v>35000</v>
      </c>
      <c r="F421" s="38" t="n">
        <v>32189</v>
      </c>
      <c r="G421" s="39">
        <f>F421-E421</f>
        <v/>
      </c>
      <c r="H421" s="40">
        <f>IF(E421=0,0,(F421-E421)/E421)</f>
        <v/>
      </c>
      <c r="I421" s="41">
        <f>IF(H421&gt;0.1,"⚠️ Dépassement",IF(H421&lt;-0.1,"✅ Économie","🔵 Normal"))</f>
        <v/>
      </c>
      <c r="J421" s="38">
        <f>SUMPRODUCT((B$3:B421=B421)*(C$3:C421=C421)*(D$3:D421=D421)*E$3:E421)</f>
        <v/>
      </c>
      <c r="K421" s="38">
        <f>SUMPRODUCT((B$3:B421=B421)*(C$3:C421=C421)*(D$3:D421=D421)*F$3:F421)</f>
        <v/>
      </c>
      <c r="L421" s="42">
        <f>IF(J421=0,0,K421/J421)</f>
        <v/>
      </c>
    </row>
    <row r="422">
      <c r="A422" s="23" t="inlineStr">
        <is>
          <t>Novembre</t>
        </is>
      </c>
      <c r="B422" s="23" t="n">
        <v>11</v>
      </c>
      <c r="C422" s="23" t="inlineStr">
        <is>
          <t>Production</t>
        </is>
      </c>
      <c r="D422" s="23" t="inlineStr">
        <is>
          <t>Matières &amp; Fournitures</t>
        </is>
      </c>
      <c r="E422" s="21" t="n">
        <v>85000</v>
      </c>
      <c r="F422" s="21" t="n">
        <v>98543</v>
      </c>
      <c r="G422" s="39">
        <f>F422-E422</f>
        <v/>
      </c>
      <c r="H422" s="40">
        <f>IF(E422=0,0,(F422-E422)/E422)</f>
        <v/>
      </c>
      <c r="I422" s="41">
        <f>IF(H422&gt;0.1,"⚠️ Dépassement",IF(H422&lt;-0.1,"✅ Économie","🔵 Normal"))</f>
        <v/>
      </c>
      <c r="J422" s="21">
        <f>SUMPRODUCT((B$3:B422=B422)*(C$3:C422=C422)*(D$3:D422=D422)*E$3:E422)</f>
        <v/>
      </c>
      <c r="K422" s="21">
        <f>SUMPRODUCT((B$3:B422=B422)*(C$3:C422=C422)*(D$3:D422=D422)*F$3:F422)</f>
        <v/>
      </c>
      <c r="L422" s="22">
        <f>IF(J422=0,0,K422/J422)</f>
        <v/>
      </c>
    </row>
    <row r="423">
      <c r="A423" s="37" t="inlineStr">
        <is>
          <t>Novembre</t>
        </is>
      </c>
      <c r="B423" s="37" t="n">
        <v>11</v>
      </c>
      <c r="C423" s="37" t="inlineStr">
        <is>
          <t>Production</t>
        </is>
      </c>
      <c r="D423" s="37" t="inlineStr">
        <is>
          <t>Informatique &amp; Licences</t>
        </is>
      </c>
      <c r="E423" s="38" t="n">
        <v>12000</v>
      </c>
      <c r="F423" s="38" t="n">
        <v>12031</v>
      </c>
      <c r="G423" s="39">
        <f>F423-E423</f>
        <v/>
      </c>
      <c r="H423" s="40">
        <f>IF(E423=0,0,(F423-E423)/E423)</f>
        <v/>
      </c>
      <c r="I423" s="41">
        <f>IF(H423&gt;0.1,"⚠️ Dépassement",IF(H423&lt;-0.1,"✅ Économie","🔵 Normal"))</f>
        <v/>
      </c>
      <c r="J423" s="38">
        <f>SUMPRODUCT((B$3:B423=B423)*(C$3:C423=C423)*(D$3:D423=D423)*E$3:E423)</f>
        <v/>
      </c>
      <c r="K423" s="38">
        <f>SUMPRODUCT((B$3:B423=B423)*(C$3:C423=C423)*(D$3:D423=D423)*F$3:F423)</f>
        <v/>
      </c>
      <c r="L423" s="42">
        <f>IF(J423=0,0,K423/J423)</f>
        <v/>
      </c>
    </row>
    <row r="424">
      <c r="A424" s="23" t="inlineStr">
        <is>
          <t>Novembre</t>
        </is>
      </c>
      <c r="B424" s="23" t="n">
        <v>11</v>
      </c>
      <c r="C424" s="23" t="inlineStr">
        <is>
          <t>Production</t>
        </is>
      </c>
      <c r="D424" s="23" t="inlineStr">
        <is>
          <t>Déplacements &amp; Missions</t>
        </is>
      </c>
      <c r="E424" s="21" t="n">
        <v>10000</v>
      </c>
      <c r="F424" s="21" t="n">
        <v>11406</v>
      </c>
      <c r="G424" s="39">
        <f>F424-E424</f>
        <v/>
      </c>
      <c r="H424" s="40">
        <f>IF(E424=0,0,(F424-E424)/E424)</f>
        <v/>
      </c>
      <c r="I424" s="41">
        <f>IF(H424&gt;0.1,"⚠️ Dépassement",IF(H424&lt;-0.1,"✅ Économie","🔵 Normal"))</f>
        <v/>
      </c>
      <c r="J424" s="21">
        <f>SUMPRODUCT((B$3:B424=B424)*(C$3:C424=C424)*(D$3:D424=D424)*E$3:E424)</f>
        <v/>
      </c>
      <c r="K424" s="21">
        <f>SUMPRODUCT((B$3:B424=B424)*(C$3:C424=C424)*(D$3:D424=D424)*F$3:F424)</f>
        <v/>
      </c>
      <c r="L424" s="22">
        <f>IF(J424=0,0,K424/J424)</f>
        <v/>
      </c>
    </row>
    <row r="425">
      <c r="A425" s="37" t="inlineStr">
        <is>
          <t>Novembre</t>
        </is>
      </c>
      <c r="B425" s="37" t="n">
        <v>11</v>
      </c>
      <c r="C425" s="37" t="inlineStr">
        <is>
          <t>Production</t>
        </is>
      </c>
      <c r="D425" s="37" t="inlineStr">
        <is>
          <t>Formation</t>
        </is>
      </c>
      <c r="E425" s="38" t="n">
        <v>15000</v>
      </c>
      <c r="F425" s="38" t="n">
        <v>16305</v>
      </c>
      <c r="G425" s="39">
        <f>F425-E425</f>
        <v/>
      </c>
      <c r="H425" s="40">
        <f>IF(E425=0,0,(F425-E425)/E425)</f>
        <v/>
      </c>
      <c r="I425" s="41">
        <f>IF(H425&gt;0.1,"⚠️ Dépassement",IF(H425&lt;-0.1,"✅ Économie","🔵 Normal"))</f>
        <v/>
      </c>
      <c r="J425" s="38">
        <f>SUMPRODUCT((B$3:B425=B425)*(C$3:C425=C425)*(D$3:D425=D425)*E$3:E425)</f>
        <v/>
      </c>
      <c r="K425" s="38">
        <f>SUMPRODUCT((B$3:B425=B425)*(C$3:C425=C425)*(D$3:D425=D425)*F$3:F425)</f>
        <v/>
      </c>
      <c r="L425" s="42">
        <f>IF(J425=0,0,K425/J425)</f>
        <v/>
      </c>
    </row>
    <row r="426">
      <c r="A426" s="23" t="inlineStr">
        <is>
          <t>Novembre</t>
        </is>
      </c>
      <c r="B426" s="23" t="n">
        <v>11</v>
      </c>
      <c r="C426" s="23" t="inlineStr">
        <is>
          <t>Production</t>
        </is>
      </c>
      <c r="D426" s="23" t="inlineStr">
        <is>
          <t>Publicité &amp; Communication</t>
        </is>
      </c>
      <c r="E426" s="21" t="n">
        <v>5000</v>
      </c>
      <c r="F426" s="21" t="n">
        <v>6076</v>
      </c>
      <c r="G426" s="39">
        <f>F426-E426</f>
        <v/>
      </c>
      <c r="H426" s="40">
        <f>IF(E426=0,0,(F426-E426)/E426)</f>
        <v/>
      </c>
      <c r="I426" s="41">
        <f>IF(H426&gt;0.1,"⚠️ Dépassement",IF(H426&lt;-0.1,"✅ Économie","🔵 Normal"))</f>
        <v/>
      </c>
      <c r="J426" s="21">
        <f>SUMPRODUCT((B$3:B426=B426)*(C$3:C426=C426)*(D$3:D426=D426)*E$3:E426)</f>
        <v/>
      </c>
      <c r="K426" s="21">
        <f>SUMPRODUCT((B$3:B426=B426)*(C$3:C426=C426)*(D$3:D426=D426)*F$3:F426)</f>
        <v/>
      </c>
      <c r="L426" s="22">
        <f>IF(J426=0,0,K426/J426)</f>
        <v/>
      </c>
    </row>
    <row r="427">
      <c r="A427" s="37" t="inlineStr">
        <is>
          <t>Novembre</t>
        </is>
      </c>
      <c r="B427" s="37" t="n">
        <v>11</v>
      </c>
      <c r="C427" s="37" t="inlineStr">
        <is>
          <t>IT</t>
        </is>
      </c>
      <c r="D427" s="37" t="inlineStr">
        <is>
          <t>Salaires</t>
        </is>
      </c>
      <c r="E427" s="38" t="n">
        <v>130000</v>
      </c>
      <c r="F427" s="38" t="n">
        <v>148915</v>
      </c>
      <c r="G427" s="39">
        <f>F427-E427</f>
        <v/>
      </c>
      <c r="H427" s="40">
        <f>IF(E427=0,0,(F427-E427)/E427)</f>
        <v/>
      </c>
      <c r="I427" s="41">
        <f>IF(H427&gt;0.1,"⚠️ Dépassement",IF(H427&lt;-0.1,"✅ Économie","🔵 Normal"))</f>
        <v/>
      </c>
      <c r="J427" s="38">
        <f>SUMPRODUCT((B$3:B427=B427)*(C$3:C427=C427)*(D$3:D427=D427)*E$3:E427)</f>
        <v/>
      </c>
      <c r="K427" s="38">
        <f>SUMPRODUCT((B$3:B427=B427)*(C$3:C427=C427)*(D$3:D427=D427)*F$3:F427)</f>
        <v/>
      </c>
      <c r="L427" s="42">
        <f>IF(J427=0,0,K427/J427)</f>
        <v/>
      </c>
    </row>
    <row r="428">
      <c r="A428" s="23" t="inlineStr">
        <is>
          <t>Novembre</t>
        </is>
      </c>
      <c r="B428" s="23" t="n">
        <v>11</v>
      </c>
      <c r="C428" s="23" t="inlineStr">
        <is>
          <t>IT</t>
        </is>
      </c>
      <c r="D428" s="23" t="inlineStr">
        <is>
          <t>Charges sociales</t>
        </is>
      </c>
      <c r="E428" s="21" t="n">
        <v>39000</v>
      </c>
      <c r="F428" s="21" t="n">
        <v>45886</v>
      </c>
      <c r="G428" s="39">
        <f>F428-E428</f>
        <v/>
      </c>
      <c r="H428" s="40">
        <f>IF(E428=0,0,(F428-E428)/E428)</f>
        <v/>
      </c>
      <c r="I428" s="41">
        <f>IF(H428&gt;0.1,"⚠️ Dépassement",IF(H428&lt;-0.1,"✅ Économie","🔵 Normal"))</f>
        <v/>
      </c>
      <c r="J428" s="21">
        <f>SUMPRODUCT((B$3:B428=B428)*(C$3:C428=C428)*(D$3:D428=D428)*E$3:E428)</f>
        <v/>
      </c>
      <c r="K428" s="21">
        <f>SUMPRODUCT((B$3:B428=B428)*(C$3:C428=C428)*(D$3:D428=D428)*F$3:F428)</f>
        <v/>
      </c>
      <c r="L428" s="22">
        <f>IF(J428=0,0,K428/J428)</f>
        <v/>
      </c>
    </row>
    <row r="429">
      <c r="A429" s="37" t="inlineStr">
        <is>
          <t>Novembre</t>
        </is>
      </c>
      <c r="B429" s="37" t="n">
        <v>11</v>
      </c>
      <c r="C429" s="37" t="inlineStr">
        <is>
          <t>IT</t>
        </is>
      </c>
      <c r="D429" s="37" t="inlineStr">
        <is>
          <t>Loyer &amp; Charges</t>
        </is>
      </c>
      <c r="E429" s="38" t="n">
        <v>10000</v>
      </c>
      <c r="F429" s="38" t="n">
        <v>10651</v>
      </c>
      <c r="G429" s="39">
        <f>F429-E429</f>
        <v/>
      </c>
      <c r="H429" s="40">
        <f>IF(E429=0,0,(F429-E429)/E429)</f>
        <v/>
      </c>
      <c r="I429" s="41">
        <f>IF(H429&gt;0.1,"⚠️ Dépassement",IF(H429&lt;-0.1,"✅ Économie","🔵 Normal"))</f>
        <v/>
      </c>
      <c r="J429" s="38">
        <f>SUMPRODUCT((B$3:B429=B429)*(C$3:C429=C429)*(D$3:D429=D429)*E$3:E429)</f>
        <v/>
      </c>
      <c r="K429" s="38">
        <f>SUMPRODUCT((B$3:B429=B429)*(C$3:C429=C429)*(D$3:D429=D429)*F$3:F429)</f>
        <v/>
      </c>
      <c r="L429" s="42">
        <f>IF(J429=0,0,K429/J429)</f>
        <v/>
      </c>
    </row>
    <row r="430">
      <c r="A430" s="23" t="inlineStr">
        <is>
          <t>Novembre</t>
        </is>
      </c>
      <c r="B430" s="23" t="n">
        <v>11</v>
      </c>
      <c r="C430" s="23" t="inlineStr">
        <is>
          <t>IT</t>
        </is>
      </c>
      <c r="D430" s="23" t="inlineStr">
        <is>
          <t>Matières &amp; Fournitures</t>
        </is>
      </c>
      <c r="E430" s="21" t="n">
        <v>20000</v>
      </c>
      <c r="F430" s="21" t="n">
        <v>22154</v>
      </c>
      <c r="G430" s="39">
        <f>F430-E430</f>
        <v/>
      </c>
      <c r="H430" s="40">
        <f>IF(E430=0,0,(F430-E430)/E430)</f>
        <v/>
      </c>
      <c r="I430" s="41">
        <f>IF(H430&gt;0.1,"⚠️ Dépassement",IF(H430&lt;-0.1,"✅ Économie","🔵 Normal"))</f>
        <v/>
      </c>
      <c r="J430" s="21">
        <f>SUMPRODUCT((B$3:B430=B430)*(C$3:C430=C430)*(D$3:D430=D430)*E$3:E430)</f>
        <v/>
      </c>
      <c r="K430" s="21">
        <f>SUMPRODUCT((B$3:B430=B430)*(C$3:C430=C430)*(D$3:D430=D430)*F$3:F430)</f>
        <v/>
      </c>
      <c r="L430" s="22">
        <f>IF(J430=0,0,K430/J430)</f>
        <v/>
      </c>
    </row>
    <row r="431">
      <c r="A431" s="37" t="inlineStr">
        <is>
          <t>Novembre</t>
        </is>
      </c>
      <c r="B431" s="37" t="n">
        <v>11</v>
      </c>
      <c r="C431" s="37" t="inlineStr">
        <is>
          <t>IT</t>
        </is>
      </c>
      <c r="D431" s="37" t="inlineStr">
        <is>
          <t>Informatique &amp; Licences</t>
        </is>
      </c>
      <c r="E431" s="38" t="n">
        <v>50000</v>
      </c>
      <c r="F431" s="38" t="n">
        <v>51096</v>
      </c>
      <c r="G431" s="39">
        <f>F431-E431</f>
        <v/>
      </c>
      <c r="H431" s="40">
        <f>IF(E431=0,0,(F431-E431)/E431)</f>
        <v/>
      </c>
      <c r="I431" s="41">
        <f>IF(H431&gt;0.1,"⚠️ Dépassement",IF(H431&lt;-0.1,"✅ Économie","🔵 Normal"))</f>
        <v/>
      </c>
      <c r="J431" s="38">
        <f>SUMPRODUCT((B$3:B431=B431)*(C$3:C431=C431)*(D$3:D431=D431)*E$3:E431)</f>
        <v/>
      </c>
      <c r="K431" s="38">
        <f>SUMPRODUCT((B$3:B431=B431)*(C$3:C431=C431)*(D$3:D431=D431)*F$3:F431)</f>
        <v/>
      </c>
      <c r="L431" s="42">
        <f>IF(J431=0,0,K431/J431)</f>
        <v/>
      </c>
    </row>
    <row r="432">
      <c r="A432" s="23" t="inlineStr">
        <is>
          <t>Novembre</t>
        </is>
      </c>
      <c r="B432" s="23" t="n">
        <v>11</v>
      </c>
      <c r="C432" s="23" t="inlineStr">
        <is>
          <t>IT</t>
        </is>
      </c>
      <c r="D432" s="23" t="inlineStr">
        <is>
          <t>Déplacements &amp; Missions</t>
        </is>
      </c>
      <c r="E432" s="21" t="n">
        <v>8000</v>
      </c>
      <c r="F432" s="21" t="n">
        <v>9218</v>
      </c>
      <c r="G432" s="39">
        <f>F432-E432</f>
        <v/>
      </c>
      <c r="H432" s="40">
        <f>IF(E432=0,0,(F432-E432)/E432)</f>
        <v/>
      </c>
      <c r="I432" s="41">
        <f>IF(H432&gt;0.1,"⚠️ Dépassement",IF(H432&lt;-0.1,"✅ Économie","🔵 Normal"))</f>
        <v/>
      </c>
      <c r="J432" s="21">
        <f>SUMPRODUCT((B$3:B432=B432)*(C$3:C432=C432)*(D$3:D432=D432)*E$3:E432)</f>
        <v/>
      </c>
      <c r="K432" s="21">
        <f>SUMPRODUCT((B$3:B432=B432)*(C$3:C432=C432)*(D$3:D432=D432)*F$3:F432)</f>
        <v/>
      </c>
      <c r="L432" s="22">
        <f>IF(J432=0,0,K432/J432)</f>
        <v/>
      </c>
    </row>
    <row r="433">
      <c r="A433" s="37" t="inlineStr">
        <is>
          <t>Novembre</t>
        </is>
      </c>
      <c r="B433" s="37" t="n">
        <v>11</v>
      </c>
      <c r="C433" s="37" t="inlineStr">
        <is>
          <t>IT</t>
        </is>
      </c>
      <c r="D433" s="37" t="inlineStr">
        <is>
          <t>Formation</t>
        </is>
      </c>
      <c r="E433" s="38" t="n">
        <v>18000</v>
      </c>
      <c r="F433" s="38" t="n">
        <v>18705</v>
      </c>
      <c r="G433" s="39">
        <f>F433-E433</f>
        <v/>
      </c>
      <c r="H433" s="40">
        <f>IF(E433=0,0,(F433-E433)/E433)</f>
        <v/>
      </c>
      <c r="I433" s="41">
        <f>IF(H433&gt;0.1,"⚠️ Dépassement",IF(H433&lt;-0.1,"✅ Économie","🔵 Normal"))</f>
        <v/>
      </c>
      <c r="J433" s="38">
        <f>SUMPRODUCT((B$3:B433=B433)*(C$3:C433=C433)*(D$3:D433=D433)*E$3:E433)</f>
        <v/>
      </c>
      <c r="K433" s="38">
        <f>SUMPRODUCT((B$3:B433=B433)*(C$3:C433=C433)*(D$3:D433=D433)*F$3:F433)</f>
        <v/>
      </c>
      <c r="L433" s="42">
        <f>IF(J433=0,0,K433/J433)</f>
        <v/>
      </c>
    </row>
    <row r="434">
      <c r="A434" s="23" t="inlineStr">
        <is>
          <t>Novembre</t>
        </is>
      </c>
      <c r="B434" s="23" t="n">
        <v>11</v>
      </c>
      <c r="C434" s="23" t="inlineStr">
        <is>
          <t>IT</t>
        </is>
      </c>
      <c r="D434" s="23" t="inlineStr">
        <is>
          <t>Publicité &amp; Communication</t>
        </is>
      </c>
      <c r="E434" s="21" t="n">
        <v>4000</v>
      </c>
      <c r="F434" s="21" t="n">
        <v>4716</v>
      </c>
      <c r="G434" s="39">
        <f>F434-E434</f>
        <v/>
      </c>
      <c r="H434" s="40">
        <f>IF(E434=0,0,(F434-E434)/E434)</f>
        <v/>
      </c>
      <c r="I434" s="41">
        <f>IF(H434&gt;0.1,"⚠️ Dépassement",IF(H434&lt;-0.1,"✅ Économie","🔵 Normal"))</f>
        <v/>
      </c>
      <c r="J434" s="21">
        <f>SUMPRODUCT((B$3:B434=B434)*(C$3:C434=C434)*(D$3:D434=D434)*E$3:E434)</f>
        <v/>
      </c>
      <c r="K434" s="21">
        <f>SUMPRODUCT((B$3:B434=B434)*(C$3:C434=C434)*(D$3:D434=D434)*F$3:F434)</f>
        <v/>
      </c>
      <c r="L434" s="22">
        <f>IF(J434=0,0,K434/J434)</f>
        <v/>
      </c>
    </row>
    <row r="435">
      <c r="A435" s="37" t="inlineStr">
        <is>
          <t>Novembre</t>
        </is>
      </c>
      <c r="B435" s="37" t="n">
        <v>11</v>
      </c>
      <c r="C435" s="37" t="inlineStr">
        <is>
          <t>Administration</t>
        </is>
      </c>
      <c r="D435" s="37" t="inlineStr">
        <is>
          <t>Salaires</t>
        </is>
      </c>
      <c r="E435" s="38" t="n">
        <v>75000</v>
      </c>
      <c r="F435" s="38" t="n">
        <v>82704</v>
      </c>
      <c r="G435" s="39">
        <f>F435-E435</f>
        <v/>
      </c>
      <c r="H435" s="40">
        <f>IF(E435=0,0,(F435-E435)/E435)</f>
        <v/>
      </c>
      <c r="I435" s="41">
        <f>IF(H435&gt;0.1,"⚠️ Dépassement",IF(H435&lt;-0.1,"✅ Économie","🔵 Normal"))</f>
        <v/>
      </c>
      <c r="J435" s="38">
        <f>SUMPRODUCT((B$3:B435=B435)*(C$3:C435=C435)*(D$3:D435=D435)*E$3:E435)</f>
        <v/>
      </c>
      <c r="K435" s="38">
        <f>SUMPRODUCT((B$3:B435=B435)*(C$3:C435=C435)*(D$3:D435=D435)*F$3:F435)</f>
        <v/>
      </c>
      <c r="L435" s="42">
        <f>IF(J435=0,0,K435/J435)</f>
        <v/>
      </c>
    </row>
    <row r="436">
      <c r="A436" s="23" t="inlineStr">
        <is>
          <t>Novembre</t>
        </is>
      </c>
      <c r="B436" s="23" t="n">
        <v>11</v>
      </c>
      <c r="C436" s="23" t="inlineStr">
        <is>
          <t>Administration</t>
        </is>
      </c>
      <c r="D436" s="23" t="inlineStr">
        <is>
          <t>Charges sociales</t>
        </is>
      </c>
      <c r="E436" s="21" t="n">
        <v>22500</v>
      </c>
      <c r="F436" s="21" t="n">
        <v>20783</v>
      </c>
      <c r="G436" s="39">
        <f>F436-E436</f>
        <v/>
      </c>
      <c r="H436" s="40">
        <f>IF(E436=0,0,(F436-E436)/E436)</f>
        <v/>
      </c>
      <c r="I436" s="41">
        <f>IF(H436&gt;0.1,"⚠️ Dépassement",IF(H436&lt;-0.1,"✅ Économie","🔵 Normal"))</f>
        <v/>
      </c>
      <c r="J436" s="21">
        <f>SUMPRODUCT((B$3:B436=B436)*(C$3:C436=C436)*(D$3:D436=D436)*E$3:E436)</f>
        <v/>
      </c>
      <c r="K436" s="21">
        <f>SUMPRODUCT((B$3:B436=B436)*(C$3:C436=C436)*(D$3:D436=D436)*F$3:F436)</f>
        <v/>
      </c>
      <c r="L436" s="22">
        <f>IF(J436=0,0,K436/J436)</f>
        <v/>
      </c>
    </row>
    <row r="437">
      <c r="A437" s="37" t="inlineStr">
        <is>
          <t>Novembre</t>
        </is>
      </c>
      <c r="B437" s="37" t="n">
        <v>11</v>
      </c>
      <c r="C437" s="37" t="inlineStr">
        <is>
          <t>Administration</t>
        </is>
      </c>
      <c r="D437" s="37" t="inlineStr">
        <is>
          <t>Loyer &amp; Charges</t>
        </is>
      </c>
      <c r="E437" s="38" t="n">
        <v>18000</v>
      </c>
      <c r="F437" s="38" t="n">
        <v>16540</v>
      </c>
      <c r="G437" s="39">
        <f>F437-E437</f>
        <v/>
      </c>
      <c r="H437" s="40">
        <f>IF(E437=0,0,(F437-E437)/E437)</f>
        <v/>
      </c>
      <c r="I437" s="41">
        <f>IF(H437&gt;0.1,"⚠️ Dépassement",IF(H437&lt;-0.1,"✅ Économie","🔵 Normal"))</f>
        <v/>
      </c>
      <c r="J437" s="38">
        <f>SUMPRODUCT((B$3:B437=B437)*(C$3:C437=C437)*(D$3:D437=D437)*E$3:E437)</f>
        <v/>
      </c>
      <c r="K437" s="38">
        <f>SUMPRODUCT((B$3:B437=B437)*(C$3:C437=C437)*(D$3:D437=D437)*F$3:F437)</f>
        <v/>
      </c>
      <c r="L437" s="42">
        <f>IF(J437=0,0,K437/J437)</f>
        <v/>
      </c>
    </row>
    <row r="438">
      <c r="A438" s="23" t="inlineStr">
        <is>
          <t>Novembre</t>
        </is>
      </c>
      <c r="B438" s="23" t="n">
        <v>11</v>
      </c>
      <c r="C438" s="23" t="inlineStr">
        <is>
          <t>Administration</t>
        </is>
      </c>
      <c r="D438" s="23" t="inlineStr">
        <is>
          <t>Matières &amp; Fournitures</t>
        </is>
      </c>
      <c r="E438" s="21" t="n">
        <v>12000</v>
      </c>
      <c r="F438" s="21" t="n">
        <v>12901</v>
      </c>
      <c r="G438" s="39">
        <f>F438-E438</f>
        <v/>
      </c>
      <c r="H438" s="40">
        <f>IF(E438=0,0,(F438-E438)/E438)</f>
        <v/>
      </c>
      <c r="I438" s="41">
        <f>IF(H438&gt;0.1,"⚠️ Dépassement",IF(H438&lt;-0.1,"✅ Économie","🔵 Normal"))</f>
        <v/>
      </c>
      <c r="J438" s="21">
        <f>SUMPRODUCT((B$3:B438=B438)*(C$3:C438=C438)*(D$3:D438=D438)*E$3:E438)</f>
        <v/>
      </c>
      <c r="K438" s="21">
        <f>SUMPRODUCT((B$3:B438=B438)*(C$3:C438=C438)*(D$3:D438=D438)*F$3:F438)</f>
        <v/>
      </c>
      <c r="L438" s="22">
        <f>IF(J438=0,0,K438/J438)</f>
        <v/>
      </c>
    </row>
    <row r="439">
      <c r="A439" s="37" t="inlineStr">
        <is>
          <t>Novembre</t>
        </is>
      </c>
      <c r="B439" s="37" t="n">
        <v>11</v>
      </c>
      <c r="C439" s="37" t="inlineStr">
        <is>
          <t>Administration</t>
        </is>
      </c>
      <c r="D439" s="37" t="inlineStr">
        <is>
          <t>Informatique &amp; Licences</t>
        </is>
      </c>
      <c r="E439" s="38" t="n">
        <v>6000</v>
      </c>
      <c r="F439" s="38" t="n">
        <v>6758</v>
      </c>
      <c r="G439" s="39">
        <f>F439-E439</f>
        <v/>
      </c>
      <c r="H439" s="40">
        <f>IF(E439=0,0,(F439-E439)/E439)</f>
        <v/>
      </c>
      <c r="I439" s="41">
        <f>IF(H439&gt;0.1,"⚠️ Dépassement",IF(H439&lt;-0.1,"✅ Économie","🔵 Normal"))</f>
        <v/>
      </c>
      <c r="J439" s="38">
        <f>SUMPRODUCT((B$3:B439=B439)*(C$3:C439=C439)*(D$3:D439=D439)*E$3:E439)</f>
        <v/>
      </c>
      <c r="K439" s="38">
        <f>SUMPRODUCT((B$3:B439=B439)*(C$3:C439=C439)*(D$3:D439=D439)*F$3:F439)</f>
        <v/>
      </c>
      <c r="L439" s="42">
        <f>IF(J439=0,0,K439/J439)</f>
        <v/>
      </c>
    </row>
    <row r="440">
      <c r="A440" s="23" t="inlineStr">
        <is>
          <t>Novembre</t>
        </is>
      </c>
      <c r="B440" s="23" t="n">
        <v>11</v>
      </c>
      <c r="C440" s="23" t="inlineStr">
        <is>
          <t>Administration</t>
        </is>
      </c>
      <c r="D440" s="23" t="inlineStr">
        <is>
          <t>Déplacements &amp; Missions</t>
        </is>
      </c>
      <c r="E440" s="21" t="n">
        <v>9000</v>
      </c>
      <c r="F440" s="21" t="n">
        <v>9257</v>
      </c>
      <c r="G440" s="39">
        <f>F440-E440</f>
        <v/>
      </c>
      <c r="H440" s="40">
        <f>IF(E440=0,0,(F440-E440)/E440)</f>
        <v/>
      </c>
      <c r="I440" s="41">
        <f>IF(H440&gt;0.1,"⚠️ Dépassement",IF(H440&lt;-0.1,"✅ Économie","🔵 Normal"))</f>
        <v/>
      </c>
      <c r="J440" s="21">
        <f>SUMPRODUCT((B$3:B440=B440)*(C$3:C440=C440)*(D$3:D440=D440)*E$3:E440)</f>
        <v/>
      </c>
      <c r="K440" s="21">
        <f>SUMPRODUCT((B$3:B440=B440)*(C$3:C440=C440)*(D$3:D440=D440)*F$3:F440)</f>
        <v/>
      </c>
      <c r="L440" s="22">
        <f>IF(J440=0,0,K440/J440)</f>
        <v/>
      </c>
    </row>
    <row r="441">
      <c r="A441" s="37" t="inlineStr">
        <is>
          <t>Novembre</t>
        </is>
      </c>
      <c r="B441" s="37" t="n">
        <v>11</v>
      </c>
      <c r="C441" s="37" t="inlineStr">
        <is>
          <t>Administration</t>
        </is>
      </c>
      <c r="D441" s="37" t="inlineStr">
        <is>
          <t>Formation</t>
        </is>
      </c>
      <c r="E441" s="38" t="n">
        <v>5000</v>
      </c>
      <c r="F441" s="38" t="n">
        <v>5353</v>
      </c>
      <c r="G441" s="39">
        <f>F441-E441</f>
        <v/>
      </c>
      <c r="H441" s="40">
        <f>IF(E441=0,0,(F441-E441)/E441)</f>
        <v/>
      </c>
      <c r="I441" s="41">
        <f>IF(H441&gt;0.1,"⚠️ Dépassement",IF(H441&lt;-0.1,"✅ Économie","🔵 Normal"))</f>
        <v/>
      </c>
      <c r="J441" s="38">
        <f>SUMPRODUCT((B$3:B441=B441)*(C$3:C441=C441)*(D$3:D441=D441)*E$3:E441)</f>
        <v/>
      </c>
      <c r="K441" s="38">
        <f>SUMPRODUCT((B$3:B441=B441)*(C$3:C441=C441)*(D$3:D441=D441)*F$3:F441)</f>
        <v/>
      </c>
      <c r="L441" s="42">
        <f>IF(J441=0,0,K441/J441)</f>
        <v/>
      </c>
    </row>
    <row r="442">
      <c r="A442" s="23" t="inlineStr">
        <is>
          <t>Novembre</t>
        </is>
      </c>
      <c r="B442" s="23" t="n">
        <v>11</v>
      </c>
      <c r="C442" s="23" t="inlineStr">
        <is>
          <t>Administration</t>
        </is>
      </c>
      <c r="D442" s="23" t="inlineStr">
        <is>
          <t>Publicité &amp; Communication</t>
        </is>
      </c>
      <c r="E442" s="21" t="n">
        <v>2000</v>
      </c>
      <c r="F442" s="21" t="n">
        <v>1860</v>
      </c>
      <c r="G442" s="39">
        <f>F442-E442</f>
        <v/>
      </c>
      <c r="H442" s="40">
        <f>IF(E442=0,0,(F442-E442)/E442)</f>
        <v/>
      </c>
      <c r="I442" s="41">
        <f>IF(H442&gt;0.1,"⚠️ Dépassement",IF(H442&lt;-0.1,"✅ Économie","🔵 Normal"))</f>
        <v/>
      </c>
      <c r="J442" s="21">
        <f>SUMPRODUCT((B$3:B442=B442)*(C$3:C442=C442)*(D$3:D442=D442)*E$3:E442)</f>
        <v/>
      </c>
      <c r="K442" s="21">
        <f>SUMPRODUCT((B$3:B442=B442)*(C$3:C442=C442)*(D$3:D442=D442)*F$3:F442)</f>
        <v/>
      </c>
      <c r="L442" s="22">
        <f>IF(J442=0,0,K442/J442)</f>
        <v/>
      </c>
    </row>
    <row r="443">
      <c r="A443" s="37" t="inlineStr">
        <is>
          <t>Décembre</t>
        </is>
      </c>
      <c r="B443" s="37" t="n">
        <v>12</v>
      </c>
      <c r="C443" s="37" t="inlineStr">
        <is>
          <t>RH</t>
        </is>
      </c>
      <c r="D443" s="37" t="inlineStr">
        <is>
          <t>Salaires</t>
        </is>
      </c>
      <c r="E443" s="38" t="n">
        <v>180000</v>
      </c>
      <c r="F443" s="38" t="n">
        <v>195429</v>
      </c>
      <c r="G443" s="39">
        <f>F443-E443</f>
        <v/>
      </c>
      <c r="H443" s="40">
        <f>IF(E443=0,0,(F443-E443)/E443)</f>
        <v/>
      </c>
      <c r="I443" s="41">
        <f>IF(H443&gt;0.1,"⚠️ Dépassement",IF(H443&lt;-0.1,"✅ Économie","🔵 Normal"))</f>
        <v/>
      </c>
      <c r="J443" s="38">
        <f>SUMPRODUCT((B$3:B443=B443)*(C$3:C443=C443)*(D$3:D443=D443)*E$3:E443)</f>
        <v/>
      </c>
      <c r="K443" s="38">
        <f>SUMPRODUCT((B$3:B443=B443)*(C$3:C443=C443)*(D$3:D443=D443)*F$3:F443)</f>
        <v/>
      </c>
      <c r="L443" s="42">
        <f>IF(J443=0,0,K443/J443)</f>
        <v/>
      </c>
    </row>
    <row r="444">
      <c r="A444" s="23" t="inlineStr">
        <is>
          <t>Décembre</t>
        </is>
      </c>
      <c r="B444" s="23" t="n">
        <v>12</v>
      </c>
      <c r="C444" s="23" t="inlineStr">
        <is>
          <t>RH</t>
        </is>
      </c>
      <c r="D444" s="23" t="inlineStr">
        <is>
          <t>Charges sociales</t>
        </is>
      </c>
      <c r="E444" s="21" t="n">
        <v>54000</v>
      </c>
      <c r="F444" s="21" t="n">
        <v>50149</v>
      </c>
      <c r="G444" s="39">
        <f>F444-E444</f>
        <v/>
      </c>
      <c r="H444" s="40">
        <f>IF(E444=0,0,(F444-E444)/E444)</f>
        <v/>
      </c>
      <c r="I444" s="41">
        <f>IF(H444&gt;0.1,"⚠️ Dépassement",IF(H444&lt;-0.1,"✅ Économie","🔵 Normal"))</f>
        <v/>
      </c>
      <c r="J444" s="21">
        <f>SUMPRODUCT((B$3:B444=B444)*(C$3:C444=C444)*(D$3:D444=D444)*E$3:E444)</f>
        <v/>
      </c>
      <c r="K444" s="21">
        <f>SUMPRODUCT((B$3:B444=B444)*(C$3:C444=C444)*(D$3:D444=D444)*F$3:F444)</f>
        <v/>
      </c>
      <c r="L444" s="22">
        <f>IF(J444=0,0,K444/J444)</f>
        <v/>
      </c>
    </row>
    <row r="445">
      <c r="A445" s="37" t="inlineStr">
        <is>
          <t>Décembre</t>
        </is>
      </c>
      <c r="B445" s="37" t="n">
        <v>12</v>
      </c>
      <c r="C445" s="37" t="inlineStr">
        <is>
          <t>RH</t>
        </is>
      </c>
      <c r="D445" s="37" t="inlineStr">
        <is>
          <t>Loyer &amp; Charges</t>
        </is>
      </c>
      <c r="E445" s="38" t="n">
        <v>15000</v>
      </c>
      <c r="F445" s="38" t="n">
        <v>14218</v>
      </c>
      <c r="G445" s="39">
        <f>F445-E445</f>
        <v/>
      </c>
      <c r="H445" s="40">
        <f>IF(E445=0,0,(F445-E445)/E445)</f>
        <v/>
      </c>
      <c r="I445" s="41">
        <f>IF(H445&gt;0.1,"⚠️ Dépassement",IF(H445&lt;-0.1,"✅ Économie","🔵 Normal"))</f>
        <v/>
      </c>
      <c r="J445" s="38">
        <f>SUMPRODUCT((B$3:B445=B445)*(C$3:C445=C445)*(D$3:D445=D445)*E$3:E445)</f>
        <v/>
      </c>
      <c r="K445" s="38">
        <f>SUMPRODUCT((B$3:B445=B445)*(C$3:C445=C445)*(D$3:D445=D445)*F$3:F445)</f>
        <v/>
      </c>
      <c r="L445" s="42">
        <f>IF(J445=0,0,K445/J445)</f>
        <v/>
      </c>
    </row>
    <row r="446">
      <c r="A446" s="23" t="inlineStr">
        <is>
          <t>Décembre</t>
        </is>
      </c>
      <c r="B446" s="23" t="n">
        <v>12</v>
      </c>
      <c r="C446" s="23" t="inlineStr">
        <is>
          <t>RH</t>
        </is>
      </c>
      <c r="D446" s="23" t="inlineStr">
        <is>
          <t>Matières &amp; Fournitures</t>
        </is>
      </c>
      <c r="E446" s="21" t="n">
        <v>8000</v>
      </c>
      <c r="F446" s="21" t="n">
        <v>8288</v>
      </c>
      <c r="G446" s="39">
        <f>F446-E446</f>
        <v/>
      </c>
      <c r="H446" s="40">
        <f>IF(E446=0,0,(F446-E446)/E446)</f>
        <v/>
      </c>
      <c r="I446" s="41">
        <f>IF(H446&gt;0.1,"⚠️ Dépassement",IF(H446&lt;-0.1,"✅ Économie","🔵 Normal"))</f>
        <v/>
      </c>
      <c r="J446" s="21">
        <f>SUMPRODUCT((B$3:B446=B446)*(C$3:C446=C446)*(D$3:D446=D446)*E$3:E446)</f>
        <v/>
      </c>
      <c r="K446" s="21">
        <f>SUMPRODUCT((B$3:B446=B446)*(C$3:C446=C446)*(D$3:D446=D446)*F$3:F446)</f>
        <v/>
      </c>
      <c r="L446" s="22">
        <f>IF(J446=0,0,K446/J446)</f>
        <v/>
      </c>
    </row>
    <row r="447">
      <c r="A447" s="37" t="inlineStr">
        <is>
          <t>Décembre</t>
        </is>
      </c>
      <c r="B447" s="37" t="n">
        <v>12</v>
      </c>
      <c r="C447" s="37" t="inlineStr">
        <is>
          <t>RH</t>
        </is>
      </c>
      <c r="D447" s="37" t="inlineStr">
        <is>
          <t>Informatique &amp; Licences</t>
        </is>
      </c>
      <c r="E447" s="38" t="n">
        <v>5000</v>
      </c>
      <c r="F447" s="38" t="n">
        <v>4377</v>
      </c>
      <c r="G447" s="39">
        <f>F447-E447</f>
        <v/>
      </c>
      <c r="H447" s="40">
        <f>IF(E447=0,0,(F447-E447)/E447)</f>
        <v/>
      </c>
      <c r="I447" s="41">
        <f>IF(H447&gt;0.1,"⚠️ Dépassement",IF(H447&lt;-0.1,"✅ Économie","🔵 Normal"))</f>
        <v/>
      </c>
      <c r="J447" s="38">
        <f>SUMPRODUCT((B$3:B447=B447)*(C$3:C447=C447)*(D$3:D447=D447)*E$3:E447)</f>
        <v/>
      </c>
      <c r="K447" s="38">
        <f>SUMPRODUCT((B$3:B447=B447)*(C$3:C447=C447)*(D$3:D447=D447)*F$3:F447)</f>
        <v/>
      </c>
      <c r="L447" s="42">
        <f>IF(J447=0,0,K447/J447)</f>
        <v/>
      </c>
    </row>
    <row r="448">
      <c r="A448" s="23" t="inlineStr">
        <is>
          <t>Décembre</t>
        </is>
      </c>
      <c r="B448" s="23" t="n">
        <v>12</v>
      </c>
      <c r="C448" s="23" t="inlineStr">
        <is>
          <t>RH</t>
        </is>
      </c>
      <c r="D448" s="23" t="inlineStr">
        <is>
          <t>Déplacements &amp; Missions</t>
        </is>
      </c>
      <c r="E448" s="21" t="n">
        <v>7000</v>
      </c>
      <c r="F448" s="21" t="n">
        <v>6388</v>
      </c>
      <c r="G448" s="39">
        <f>F448-E448</f>
        <v/>
      </c>
      <c r="H448" s="40">
        <f>IF(E448=0,0,(F448-E448)/E448)</f>
        <v/>
      </c>
      <c r="I448" s="41">
        <f>IF(H448&gt;0.1,"⚠️ Dépassement",IF(H448&lt;-0.1,"✅ Économie","🔵 Normal"))</f>
        <v/>
      </c>
      <c r="J448" s="21">
        <f>SUMPRODUCT((B$3:B448=B448)*(C$3:C448=C448)*(D$3:D448=D448)*E$3:E448)</f>
        <v/>
      </c>
      <c r="K448" s="21">
        <f>SUMPRODUCT((B$3:B448=B448)*(C$3:C448=C448)*(D$3:D448=D448)*F$3:F448)</f>
        <v/>
      </c>
      <c r="L448" s="22">
        <f>IF(J448=0,0,K448/J448)</f>
        <v/>
      </c>
    </row>
    <row r="449">
      <c r="A449" s="37" t="inlineStr">
        <is>
          <t>Décembre</t>
        </is>
      </c>
      <c r="B449" s="37" t="n">
        <v>12</v>
      </c>
      <c r="C449" s="37" t="inlineStr">
        <is>
          <t>RH</t>
        </is>
      </c>
      <c r="D449" s="37" t="inlineStr">
        <is>
          <t>Formation</t>
        </is>
      </c>
      <c r="E449" s="38" t="n">
        <v>20000</v>
      </c>
      <c r="F449" s="38" t="n">
        <v>21952</v>
      </c>
      <c r="G449" s="39">
        <f>F449-E449</f>
        <v/>
      </c>
      <c r="H449" s="40">
        <f>IF(E449=0,0,(F449-E449)/E449)</f>
        <v/>
      </c>
      <c r="I449" s="41">
        <f>IF(H449&gt;0.1,"⚠️ Dépassement",IF(H449&lt;-0.1,"✅ Économie","🔵 Normal"))</f>
        <v/>
      </c>
      <c r="J449" s="38">
        <f>SUMPRODUCT((B$3:B449=B449)*(C$3:C449=C449)*(D$3:D449=D449)*E$3:E449)</f>
        <v/>
      </c>
      <c r="K449" s="38">
        <f>SUMPRODUCT((B$3:B449=B449)*(C$3:C449=C449)*(D$3:D449=D449)*F$3:F449)</f>
        <v/>
      </c>
      <c r="L449" s="42">
        <f>IF(J449=0,0,K449/J449)</f>
        <v/>
      </c>
    </row>
    <row r="450">
      <c r="A450" s="23" t="inlineStr">
        <is>
          <t>Décembre</t>
        </is>
      </c>
      <c r="B450" s="23" t="n">
        <v>12</v>
      </c>
      <c r="C450" s="23" t="inlineStr">
        <is>
          <t>RH</t>
        </is>
      </c>
      <c r="D450" s="23" t="inlineStr">
        <is>
          <t>Publicité &amp; Communication</t>
        </is>
      </c>
      <c r="E450" s="21" t="n">
        <v>3000</v>
      </c>
      <c r="F450" s="21" t="n">
        <v>3308</v>
      </c>
      <c r="G450" s="39">
        <f>F450-E450</f>
        <v/>
      </c>
      <c r="H450" s="40">
        <f>IF(E450=0,0,(F450-E450)/E450)</f>
        <v/>
      </c>
      <c r="I450" s="41">
        <f>IF(H450&gt;0.1,"⚠️ Dépassement",IF(H450&lt;-0.1,"✅ Économie","🔵 Normal"))</f>
        <v/>
      </c>
      <c r="J450" s="21">
        <f>SUMPRODUCT((B$3:B450=B450)*(C$3:C450=C450)*(D$3:D450=D450)*E$3:E450)</f>
        <v/>
      </c>
      <c r="K450" s="21">
        <f>SUMPRODUCT((B$3:B450=B450)*(C$3:C450=C450)*(D$3:D450=D450)*F$3:F450)</f>
        <v/>
      </c>
      <c r="L450" s="22">
        <f>IF(J450=0,0,K450/J450)</f>
        <v/>
      </c>
    </row>
    <row r="451">
      <c r="A451" s="37" t="inlineStr">
        <is>
          <t>Décembre</t>
        </is>
      </c>
      <c r="B451" s="37" t="n">
        <v>12</v>
      </c>
      <c r="C451" s="37" t="inlineStr">
        <is>
          <t>Marketing</t>
        </is>
      </c>
      <c r="D451" s="37" t="inlineStr">
        <is>
          <t>Salaires</t>
        </is>
      </c>
      <c r="E451" s="38" t="n">
        <v>95000</v>
      </c>
      <c r="F451" s="38" t="n">
        <v>104185</v>
      </c>
      <c r="G451" s="39">
        <f>F451-E451</f>
        <v/>
      </c>
      <c r="H451" s="40">
        <f>IF(E451=0,0,(F451-E451)/E451)</f>
        <v/>
      </c>
      <c r="I451" s="41">
        <f>IF(H451&gt;0.1,"⚠️ Dépassement",IF(H451&lt;-0.1,"✅ Économie","🔵 Normal"))</f>
        <v/>
      </c>
      <c r="J451" s="38">
        <f>SUMPRODUCT((B$3:B451=B451)*(C$3:C451=C451)*(D$3:D451=D451)*E$3:E451)</f>
        <v/>
      </c>
      <c r="K451" s="38">
        <f>SUMPRODUCT((B$3:B451=B451)*(C$3:C451=C451)*(D$3:D451=D451)*F$3:F451)</f>
        <v/>
      </c>
      <c r="L451" s="42">
        <f>IF(J451=0,0,K451/J451)</f>
        <v/>
      </c>
    </row>
    <row r="452">
      <c r="A452" s="23" t="inlineStr">
        <is>
          <t>Décembre</t>
        </is>
      </c>
      <c r="B452" s="23" t="n">
        <v>12</v>
      </c>
      <c r="C452" s="23" t="inlineStr">
        <is>
          <t>Marketing</t>
        </is>
      </c>
      <c r="D452" s="23" t="inlineStr">
        <is>
          <t>Charges sociales</t>
        </is>
      </c>
      <c r="E452" s="21" t="n">
        <v>28500</v>
      </c>
      <c r="F452" s="21" t="n">
        <v>29556</v>
      </c>
      <c r="G452" s="39">
        <f>F452-E452</f>
        <v/>
      </c>
      <c r="H452" s="40">
        <f>IF(E452=0,0,(F452-E452)/E452)</f>
        <v/>
      </c>
      <c r="I452" s="41">
        <f>IF(H452&gt;0.1,"⚠️ Dépassement",IF(H452&lt;-0.1,"✅ Économie","🔵 Normal"))</f>
        <v/>
      </c>
      <c r="J452" s="21">
        <f>SUMPRODUCT((B$3:B452=B452)*(C$3:C452=C452)*(D$3:D452=D452)*E$3:E452)</f>
        <v/>
      </c>
      <c r="K452" s="21">
        <f>SUMPRODUCT((B$3:B452=B452)*(C$3:C452=C452)*(D$3:D452=D452)*F$3:F452)</f>
        <v/>
      </c>
      <c r="L452" s="22">
        <f>IF(J452=0,0,K452/J452)</f>
        <v/>
      </c>
    </row>
    <row r="453">
      <c r="A453" s="37" t="inlineStr">
        <is>
          <t>Décembre</t>
        </is>
      </c>
      <c r="B453" s="37" t="n">
        <v>12</v>
      </c>
      <c r="C453" s="37" t="inlineStr">
        <is>
          <t>Marketing</t>
        </is>
      </c>
      <c r="D453" s="37" t="inlineStr">
        <is>
          <t>Loyer &amp; Charges</t>
        </is>
      </c>
      <c r="E453" s="38" t="n">
        <v>12000</v>
      </c>
      <c r="F453" s="38" t="n">
        <v>11836</v>
      </c>
      <c r="G453" s="39">
        <f>F453-E453</f>
        <v/>
      </c>
      <c r="H453" s="40">
        <f>IF(E453=0,0,(F453-E453)/E453)</f>
        <v/>
      </c>
      <c r="I453" s="41">
        <f>IF(H453&gt;0.1,"⚠️ Dépassement",IF(H453&lt;-0.1,"✅ Économie","🔵 Normal"))</f>
        <v/>
      </c>
      <c r="J453" s="38">
        <f>SUMPRODUCT((B$3:B453=B453)*(C$3:C453=C453)*(D$3:D453=D453)*E$3:E453)</f>
        <v/>
      </c>
      <c r="K453" s="38">
        <f>SUMPRODUCT((B$3:B453=B453)*(C$3:C453=C453)*(D$3:D453=D453)*F$3:F453)</f>
        <v/>
      </c>
      <c r="L453" s="42">
        <f>IF(J453=0,0,K453/J453)</f>
        <v/>
      </c>
    </row>
    <row r="454">
      <c r="A454" s="23" t="inlineStr">
        <is>
          <t>Décembre</t>
        </is>
      </c>
      <c r="B454" s="23" t="n">
        <v>12</v>
      </c>
      <c r="C454" s="23" t="inlineStr">
        <is>
          <t>Marketing</t>
        </is>
      </c>
      <c r="D454" s="23" t="inlineStr">
        <is>
          <t>Matières &amp; Fournitures</t>
        </is>
      </c>
      <c r="E454" s="21" t="n">
        <v>6000</v>
      </c>
      <c r="F454" s="21" t="n">
        <v>5416</v>
      </c>
      <c r="G454" s="39">
        <f>F454-E454</f>
        <v/>
      </c>
      <c r="H454" s="40">
        <f>IF(E454=0,0,(F454-E454)/E454)</f>
        <v/>
      </c>
      <c r="I454" s="41">
        <f>IF(H454&gt;0.1,"⚠️ Dépassement",IF(H454&lt;-0.1,"✅ Économie","🔵 Normal"))</f>
        <v/>
      </c>
      <c r="J454" s="21">
        <f>SUMPRODUCT((B$3:B454=B454)*(C$3:C454=C454)*(D$3:D454=D454)*E$3:E454)</f>
        <v/>
      </c>
      <c r="K454" s="21">
        <f>SUMPRODUCT((B$3:B454=B454)*(C$3:C454=C454)*(D$3:D454=D454)*F$3:F454)</f>
        <v/>
      </c>
      <c r="L454" s="22">
        <f>IF(J454=0,0,K454/J454)</f>
        <v/>
      </c>
    </row>
    <row r="455">
      <c r="A455" s="37" t="inlineStr">
        <is>
          <t>Décembre</t>
        </is>
      </c>
      <c r="B455" s="37" t="n">
        <v>12</v>
      </c>
      <c r="C455" s="37" t="inlineStr">
        <is>
          <t>Marketing</t>
        </is>
      </c>
      <c r="D455" s="37" t="inlineStr">
        <is>
          <t>Informatique &amp; Licences</t>
        </is>
      </c>
      <c r="E455" s="38" t="n">
        <v>8000</v>
      </c>
      <c r="F455" s="38" t="n">
        <v>7904</v>
      </c>
      <c r="G455" s="39">
        <f>F455-E455</f>
        <v/>
      </c>
      <c r="H455" s="40">
        <f>IF(E455=0,0,(F455-E455)/E455)</f>
        <v/>
      </c>
      <c r="I455" s="41">
        <f>IF(H455&gt;0.1,"⚠️ Dépassement",IF(H455&lt;-0.1,"✅ Économie","🔵 Normal"))</f>
        <v/>
      </c>
      <c r="J455" s="38">
        <f>SUMPRODUCT((B$3:B455=B455)*(C$3:C455=C455)*(D$3:D455=D455)*E$3:E455)</f>
        <v/>
      </c>
      <c r="K455" s="38">
        <f>SUMPRODUCT((B$3:B455=B455)*(C$3:C455=C455)*(D$3:D455=D455)*F$3:F455)</f>
        <v/>
      </c>
      <c r="L455" s="42">
        <f>IF(J455=0,0,K455/J455)</f>
        <v/>
      </c>
    </row>
    <row r="456">
      <c r="A456" s="23" t="inlineStr">
        <is>
          <t>Décembre</t>
        </is>
      </c>
      <c r="B456" s="23" t="n">
        <v>12</v>
      </c>
      <c r="C456" s="23" t="inlineStr">
        <is>
          <t>Marketing</t>
        </is>
      </c>
      <c r="D456" s="23" t="inlineStr">
        <is>
          <t>Déplacements &amp; Missions</t>
        </is>
      </c>
      <c r="E456" s="21" t="n">
        <v>15000</v>
      </c>
      <c r="F456" s="21" t="n">
        <v>17729</v>
      </c>
      <c r="G456" s="39">
        <f>F456-E456</f>
        <v/>
      </c>
      <c r="H456" s="40">
        <f>IF(E456=0,0,(F456-E456)/E456)</f>
        <v/>
      </c>
      <c r="I456" s="41">
        <f>IF(H456&gt;0.1,"⚠️ Dépassement",IF(H456&lt;-0.1,"✅ Économie","🔵 Normal"))</f>
        <v/>
      </c>
      <c r="J456" s="21">
        <f>SUMPRODUCT((B$3:B456=B456)*(C$3:C456=C456)*(D$3:D456=D456)*E$3:E456)</f>
        <v/>
      </c>
      <c r="K456" s="21">
        <f>SUMPRODUCT((B$3:B456=B456)*(C$3:C456=C456)*(D$3:D456=D456)*F$3:F456)</f>
        <v/>
      </c>
      <c r="L456" s="22">
        <f>IF(J456=0,0,K456/J456)</f>
        <v/>
      </c>
    </row>
    <row r="457">
      <c r="A457" s="37" t="inlineStr">
        <is>
          <t>Décembre</t>
        </is>
      </c>
      <c r="B457" s="37" t="n">
        <v>12</v>
      </c>
      <c r="C457" s="37" t="inlineStr">
        <is>
          <t>Marketing</t>
        </is>
      </c>
      <c r="D457" s="37" t="inlineStr">
        <is>
          <t>Formation</t>
        </is>
      </c>
      <c r="E457" s="38" t="n">
        <v>8000</v>
      </c>
      <c r="F457" s="38" t="n">
        <v>8429</v>
      </c>
      <c r="G457" s="39">
        <f>F457-E457</f>
        <v/>
      </c>
      <c r="H457" s="40">
        <f>IF(E457=0,0,(F457-E457)/E457)</f>
        <v/>
      </c>
      <c r="I457" s="41">
        <f>IF(H457&gt;0.1,"⚠️ Dépassement",IF(H457&lt;-0.1,"✅ Économie","🔵 Normal"))</f>
        <v/>
      </c>
      <c r="J457" s="38">
        <f>SUMPRODUCT((B$3:B457=B457)*(C$3:C457=C457)*(D$3:D457=D457)*E$3:E457)</f>
        <v/>
      </c>
      <c r="K457" s="38">
        <f>SUMPRODUCT((B$3:B457=B457)*(C$3:C457=C457)*(D$3:D457=D457)*F$3:F457)</f>
        <v/>
      </c>
      <c r="L457" s="42">
        <f>IF(J457=0,0,K457/J457)</f>
        <v/>
      </c>
    </row>
    <row r="458">
      <c r="A458" s="23" t="inlineStr">
        <is>
          <t>Décembre</t>
        </is>
      </c>
      <c r="B458" s="23" t="n">
        <v>12</v>
      </c>
      <c r="C458" s="23" t="inlineStr">
        <is>
          <t>Marketing</t>
        </is>
      </c>
      <c r="D458" s="23" t="inlineStr">
        <is>
          <t>Publicité &amp; Communication</t>
        </is>
      </c>
      <c r="E458" s="21" t="n">
        <v>45000</v>
      </c>
      <c r="F458" s="21" t="n">
        <v>49419</v>
      </c>
      <c r="G458" s="39">
        <f>F458-E458</f>
        <v/>
      </c>
      <c r="H458" s="40">
        <f>IF(E458=0,0,(F458-E458)/E458)</f>
        <v/>
      </c>
      <c r="I458" s="41">
        <f>IF(H458&gt;0.1,"⚠️ Dépassement",IF(H458&lt;-0.1,"✅ Économie","🔵 Normal"))</f>
        <v/>
      </c>
      <c r="J458" s="21">
        <f>SUMPRODUCT((B$3:B458=B458)*(C$3:C458=C458)*(D$3:D458=D458)*E$3:E458)</f>
        <v/>
      </c>
      <c r="K458" s="21">
        <f>SUMPRODUCT((B$3:B458=B458)*(C$3:C458=C458)*(D$3:D458=D458)*F$3:F458)</f>
        <v/>
      </c>
      <c r="L458" s="22">
        <f>IF(J458=0,0,K458/J458)</f>
        <v/>
      </c>
    </row>
    <row r="459">
      <c r="A459" s="37" t="inlineStr">
        <is>
          <t>Décembre</t>
        </is>
      </c>
      <c r="B459" s="37" t="n">
        <v>12</v>
      </c>
      <c r="C459" s="37" t="inlineStr">
        <is>
          <t>Production</t>
        </is>
      </c>
      <c r="D459" s="37" t="inlineStr">
        <is>
          <t>Salaires</t>
        </is>
      </c>
      <c r="E459" s="38" t="n">
        <v>220000</v>
      </c>
      <c r="F459" s="38" t="n">
        <v>248359</v>
      </c>
      <c r="G459" s="39">
        <f>F459-E459</f>
        <v/>
      </c>
      <c r="H459" s="40">
        <f>IF(E459=0,0,(F459-E459)/E459)</f>
        <v/>
      </c>
      <c r="I459" s="41">
        <f>IF(H459&gt;0.1,"⚠️ Dépassement",IF(H459&lt;-0.1,"✅ Économie","🔵 Normal"))</f>
        <v/>
      </c>
      <c r="J459" s="38">
        <f>SUMPRODUCT((B$3:B459=B459)*(C$3:C459=C459)*(D$3:D459=D459)*E$3:E459)</f>
        <v/>
      </c>
      <c r="K459" s="38">
        <f>SUMPRODUCT((B$3:B459=B459)*(C$3:C459=C459)*(D$3:D459=D459)*F$3:F459)</f>
        <v/>
      </c>
      <c r="L459" s="42">
        <f>IF(J459=0,0,K459/J459)</f>
        <v/>
      </c>
    </row>
    <row r="460">
      <c r="A460" s="23" t="inlineStr">
        <is>
          <t>Décembre</t>
        </is>
      </c>
      <c r="B460" s="23" t="n">
        <v>12</v>
      </c>
      <c r="C460" s="23" t="inlineStr">
        <is>
          <t>Production</t>
        </is>
      </c>
      <c r="D460" s="23" t="inlineStr">
        <is>
          <t>Charges sociales</t>
        </is>
      </c>
      <c r="E460" s="21" t="n">
        <v>66000</v>
      </c>
      <c r="F460" s="21" t="n">
        <v>64162</v>
      </c>
      <c r="G460" s="39">
        <f>F460-E460</f>
        <v/>
      </c>
      <c r="H460" s="40">
        <f>IF(E460=0,0,(F460-E460)/E460)</f>
        <v/>
      </c>
      <c r="I460" s="41">
        <f>IF(H460&gt;0.1,"⚠️ Dépassement",IF(H460&lt;-0.1,"✅ Économie","🔵 Normal"))</f>
        <v/>
      </c>
      <c r="J460" s="21">
        <f>SUMPRODUCT((B$3:B460=B460)*(C$3:C460=C460)*(D$3:D460=D460)*E$3:E460)</f>
        <v/>
      </c>
      <c r="K460" s="21">
        <f>SUMPRODUCT((B$3:B460=B460)*(C$3:C460=C460)*(D$3:D460=D460)*F$3:F460)</f>
        <v/>
      </c>
      <c r="L460" s="22">
        <f>IF(J460=0,0,K460/J460)</f>
        <v/>
      </c>
    </row>
    <row r="461">
      <c r="A461" s="37" t="inlineStr">
        <is>
          <t>Décembre</t>
        </is>
      </c>
      <c r="B461" s="37" t="n">
        <v>12</v>
      </c>
      <c r="C461" s="37" t="inlineStr">
        <is>
          <t>Production</t>
        </is>
      </c>
      <c r="D461" s="37" t="inlineStr">
        <is>
          <t>Loyer &amp; Charges</t>
        </is>
      </c>
      <c r="E461" s="38" t="n">
        <v>35000</v>
      </c>
      <c r="F461" s="38" t="n">
        <v>28783</v>
      </c>
      <c r="G461" s="39">
        <f>F461-E461</f>
        <v/>
      </c>
      <c r="H461" s="40">
        <f>IF(E461=0,0,(F461-E461)/E461)</f>
        <v/>
      </c>
      <c r="I461" s="41">
        <f>IF(H461&gt;0.1,"⚠️ Dépassement",IF(H461&lt;-0.1,"✅ Économie","🔵 Normal"))</f>
        <v/>
      </c>
      <c r="J461" s="38">
        <f>SUMPRODUCT((B$3:B461=B461)*(C$3:C461=C461)*(D$3:D461=D461)*E$3:E461)</f>
        <v/>
      </c>
      <c r="K461" s="38">
        <f>SUMPRODUCT((B$3:B461=B461)*(C$3:C461=C461)*(D$3:D461=D461)*F$3:F461)</f>
        <v/>
      </c>
      <c r="L461" s="42">
        <f>IF(J461=0,0,K461/J461)</f>
        <v/>
      </c>
    </row>
    <row r="462">
      <c r="A462" s="23" t="inlineStr">
        <is>
          <t>Décembre</t>
        </is>
      </c>
      <c r="B462" s="23" t="n">
        <v>12</v>
      </c>
      <c r="C462" s="23" t="inlineStr">
        <is>
          <t>Production</t>
        </is>
      </c>
      <c r="D462" s="23" t="inlineStr">
        <is>
          <t>Matières &amp; Fournitures</t>
        </is>
      </c>
      <c r="E462" s="21" t="n">
        <v>85000</v>
      </c>
      <c r="F462" s="21" t="n">
        <v>81660</v>
      </c>
      <c r="G462" s="39">
        <f>F462-E462</f>
        <v/>
      </c>
      <c r="H462" s="40">
        <f>IF(E462=0,0,(F462-E462)/E462)</f>
        <v/>
      </c>
      <c r="I462" s="41">
        <f>IF(H462&gt;0.1,"⚠️ Dépassement",IF(H462&lt;-0.1,"✅ Économie","🔵 Normal"))</f>
        <v/>
      </c>
      <c r="J462" s="21">
        <f>SUMPRODUCT((B$3:B462=B462)*(C$3:C462=C462)*(D$3:D462=D462)*E$3:E462)</f>
        <v/>
      </c>
      <c r="K462" s="21">
        <f>SUMPRODUCT((B$3:B462=B462)*(C$3:C462=C462)*(D$3:D462=D462)*F$3:F462)</f>
        <v/>
      </c>
      <c r="L462" s="22">
        <f>IF(J462=0,0,K462/J462)</f>
        <v/>
      </c>
    </row>
    <row r="463">
      <c r="A463" s="37" t="inlineStr">
        <is>
          <t>Décembre</t>
        </is>
      </c>
      <c r="B463" s="37" t="n">
        <v>12</v>
      </c>
      <c r="C463" s="37" t="inlineStr">
        <is>
          <t>Production</t>
        </is>
      </c>
      <c r="D463" s="37" t="inlineStr">
        <is>
          <t>Informatique &amp; Licences</t>
        </is>
      </c>
      <c r="E463" s="38" t="n">
        <v>12000</v>
      </c>
      <c r="F463" s="38" t="n">
        <v>13457</v>
      </c>
      <c r="G463" s="39">
        <f>F463-E463</f>
        <v/>
      </c>
      <c r="H463" s="40">
        <f>IF(E463=0,0,(F463-E463)/E463)</f>
        <v/>
      </c>
      <c r="I463" s="41">
        <f>IF(H463&gt;0.1,"⚠️ Dépassement",IF(H463&lt;-0.1,"✅ Économie","🔵 Normal"))</f>
        <v/>
      </c>
      <c r="J463" s="38">
        <f>SUMPRODUCT((B$3:B463=B463)*(C$3:C463=C463)*(D$3:D463=D463)*E$3:E463)</f>
        <v/>
      </c>
      <c r="K463" s="38">
        <f>SUMPRODUCT((B$3:B463=B463)*(C$3:C463=C463)*(D$3:D463=D463)*F$3:F463)</f>
        <v/>
      </c>
      <c r="L463" s="42">
        <f>IF(J463=0,0,K463/J463)</f>
        <v/>
      </c>
    </row>
    <row r="464">
      <c r="A464" s="23" t="inlineStr">
        <is>
          <t>Décembre</t>
        </is>
      </c>
      <c r="B464" s="23" t="n">
        <v>12</v>
      </c>
      <c r="C464" s="23" t="inlineStr">
        <is>
          <t>Production</t>
        </is>
      </c>
      <c r="D464" s="23" t="inlineStr">
        <is>
          <t>Déplacements &amp; Missions</t>
        </is>
      </c>
      <c r="E464" s="21" t="n">
        <v>10000</v>
      </c>
      <c r="F464" s="21" t="n">
        <v>11614</v>
      </c>
      <c r="G464" s="39">
        <f>F464-E464</f>
        <v/>
      </c>
      <c r="H464" s="40">
        <f>IF(E464=0,0,(F464-E464)/E464)</f>
        <v/>
      </c>
      <c r="I464" s="41">
        <f>IF(H464&gt;0.1,"⚠️ Dépassement",IF(H464&lt;-0.1,"✅ Économie","🔵 Normal"))</f>
        <v/>
      </c>
      <c r="J464" s="21">
        <f>SUMPRODUCT((B$3:B464=B464)*(C$3:C464=C464)*(D$3:D464=D464)*E$3:E464)</f>
        <v/>
      </c>
      <c r="K464" s="21">
        <f>SUMPRODUCT((B$3:B464=B464)*(C$3:C464=C464)*(D$3:D464=D464)*F$3:F464)</f>
        <v/>
      </c>
      <c r="L464" s="22">
        <f>IF(J464=0,0,K464/J464)</f>
        <v/>
      </c>
    </row>
    <row r="465">
      <c r="A465" s="37" t="inlineStr">
        <is>
          <t>Décembre</t>
        </is>
      </c>
      <c r="B465" s="37" t="n">
        <v>12</v>
      </c>
      <c r="C465" s="37" t="inlineStr">
        <is>
          <t>Production</t>
        </is>
      </c>
      <c r="D465" s="37" t="inlineStr">
        <is>
          <t>Formation</t>
        </is>
      </c>
      <c r="E465" s="38" t="n">
        <v>15000</v>
      </c>
      <c r="F465" s="38" t="n">
        <v>18021</v>
      </c>
      <c r="G465" s="39">
        <f>F465-E465</f>
        <v/>
      </c>
      <c r="H465" s="40">
        <f>IF(E465=0,0,(F465-E465)/E465)</f>
        <v/>
      </c>
      <c r="I465" s="41">
        <f>IF(H465&gt;0.1,"⚠️ Dépassement",IF(H465&lt;-0.1,"✅ Économie","🔵 Normal"))</f>
        <v/>
      </c>
      <c r="J465" s="38">
        <f>SUMPRODUCT((B$3:B465=B465)*(C$3:C465=C465)*(D$3:D465=D465)*E$3:E465)</f>
        <v/>
      </c>
      <c r="K465" s="38">
        <f>SUMPRODUCT((B$3:B465=B465)*(C$3:C465=C465)*(D$3:D465=D465)*F$3:F465)</f>
        <v/>
      </c>
      <c r="L465" s="42">
        <f>IF(J465=0,0,K465/J465)</f>
        <v/>
      </c>
    </row>
    <row r="466">
      <c r="A466" s="23" t="inlineStr">
        <is>
          <t>Décembre</t>
        </is>
      </c>
      <c r="B466" s="23" t="n">
        <v>12</v>
      </c>
      <c r="C466" s="23" t="inlineStr">
        <is>
          <t>Production</t>
        </is>
      </c>
      <c r="D466" s="23" t="inlineStr">
        <is>
          <t>Publicité &amp; Communication</t>
        </is>
      </c>
      <c r="E466" s="21" t="n">
        <v>5000</v>
      </c>
      <c r="F466" s="21" t="n">
        <v>4938</v>
      </c>
      <c r="G466" s="39">
        <f>F466-E466</f>
        <v/>
      </c>
      <c r="H466" s="40">
        <f>IF(E466=0,0,(F466-E466)/E466)</f>
        <v/>
      </c>
      <c r="I466" s="41">
        <f>IF(H466&gt;0.1,"⚠️ Dépassement",IF(H466&lt;-0.1,"✅ Économie","🔵 Normal"))</f>
        <v/>
      </c>
      <c r="J466" s="21">
        <f>SUMPRODUCT((B$3:B466=B466)*(C$3:C466=C466)*(D$3:D466=D466)*E$3:E466)</f>
        <v/>
      </c>
      <c r="K466" s="21">
        <f>SUMPRODUCT((B$3:B466=B466)*(C$3:C466=C466)*(D$3:D466=D466)*F$3:F466)</f>
        <v/>
      </c>
      <c r="L466" s="22">
        <f>IF(J466=0,0,K466/J466)</f>
        <v/>
      </c>
    </row>
    <row r="467">
      <c r="A467" s="37" t="inlineStr">
        <is>
          <t>Décembre</t>
        </is>
      </c>
      <c r="B467" s="37" t="n">
        <v>12</v>
      </c>
      <c r="C467" s="37" t="inlineStr">
        <is>
          <t>IT</t>
        </is>
      </c>
      <c r="D467" s="37" t="inlineStr">
        <is>
          <t>Salaires</t>
        </is>
      </c>
      <c r="E467" s="38" t="n">
        <v>130000</v>
      </c>
      <c r="F467" s="38" t="n">
        <v>144190</v>
      </c>
      <c r="G467" s="39">
        <f>F467-E467</f>
        <v/>
      </c>
      <c r="H467" s="40">
        <f>IF(E467=0,0,(F467-E467)/E467)</f>
        <v/>
      </c>
      <c r="I467" s="41">
        <f>IF(H467&gt;0.1,"⚠️ Dépassement",IF(H467&lt;-0.1,"✅ Économie","🔵 Normal"))</f>
        <v/>
      </c>
      <c r="J467" s="38">
        <f>SUMPRODUCT((B$3:B467=B467)*(C$3:C467=C467)*(D$3:D467=D467)*E$3:E467)</f>
        <v/>
      </c>
      <c r="K467" s="38">
        <f>SUMPRODUCT((B$3:B467=B467)*(C$3:C467=C467)*(D$3:D467=D467)*F$3:F467)</f>
        <v/>
      </c>
      <c r="L467" s="42">
        <f>IF(J467=0,0,K467/J467)</f>
        <v/>
      </c>
    </row>
    <row r="468">
      <c r="A468" s="23" t="inlineStr">
        <is>
          <t>Décembre</t>
        </is>
      </c>
      <c r="B468" s="23" t="n">
        <v>12</v>
      </c>
      <c r="C468" s="23" t="inlineStr">
        <is>
          <t>IT</t>
        </is>
      </c>
      <c r="D468" s="23" t="inlineStr">
        <is>
          <t>Charges sociales</t>
        </is>
      </c>
      <c r="E468" s="21" t="n">
        <v>39000</v>
      </c>
      <c r="F468" s="21" t="n">
        <v>41391</v>
      </c>
      <c r="G468" s="39">
        <f>F468-E468</f>
        <v/>
      </c>
      <c r="H468" s="40">
        <f>IF(E468=0,0,(F468-E468)/E468)</f>
        <v/>
      </c>
      <c r="I468" s="41">
        <f>IF(H468&gt;0.1,"⚠️ Dépassement",IF(H468&lt;-0.1,"✅ Économie","🔵 Normal"))</f>
        <v/>
      </c>
      <c r="J468" s="21">
        <f>SUMPRODUCT((B$3:B468=B468)*(C$3:C468=C468)*(D$3:D468=D468)*E$3:E468)</f>
        <v/>
      </c>
      <c r="K468" s="21">
        <f>SUMPRODUCT((B$3:B468=B468)*(C$3:C468=C468)*(D$3:D468=D468)*F$3:F468)</f>
        <v/>
      </c>
      <c r="L468" s="22">
        <f>IF(J468=0,0,K468/J468)</f>
        <v/>
      </c>
    </row>
    <row r="469">
      <c r="A469" s="37" t="inlineStr">
        <is>
          <t>Décembre</t>
        </is>
      </c>
      <c r="B469" s="37" t="n">
        <v>12</v>
      </c>
      <c r="C469" s="37" t="inlineStr">
        <is>
          <t>IT</t>
        </is>
      </c>
      <c r="D469" s="37" t="inlineStr">
        <is>
          <t>Loyer &amp; Charges</t>
        </is>
      </c>
      <c r="E469" s="38" t="n">
        <v>10000</v>
      </c>
      <c r="F469" s="38" t="n">
        <v>9082</v>
      </c>
      <c r="G469" s="39">
        <f>F469-E469</f>
        <v/>
      </c>
      <c r="H469" s="40">
        <f>IF(E469=0,0,(F469-E469)/E469)</f>
        <v/>
      </c>
      <c r="I469" s="41">
        <f>IF(H469&gt;0.1,"⚠️ Dépassement",IF(H469&lt;-0.1,"✅ Économie","🔵 Normal"))</f>
        <v/>
      </c>
      <c r="J469" s="38">
        <f>SUMPRODUCT((B$3:B469=B469)*(C$3:C469=C469)*(D$3:D469=D469)*E$3:E469)</f>
        <v/>
      </c>
      <c r="K469" s="38">
        <f>SUMPRODUCT((B$3:B469=B469)*(C$3:C469=C469)*(D$3:D469=D469)*F$3:F469)</f>
        <v/>
      </c>
      <c r="L469" s="42">
        <f>IF(J469=0,0,K469/J469)</f>
        <v/>
      </c>
    </row>
    <row r="470">
      <c r="A470" s="23" t="inlineStr">
        <is>
          <t>Décembre</t>
        </is>
      </c>
      <c r="B470" s="23" t="n">
        <v>12</v>
      </c>
      <c r="C470" s="23" t="inlineStr">
        <is>
          <t>IT</t>
        </is>
      </c>
      <c r="D470" s="23" t="inlineStr">
        <is>
          <t>Matières &amp; Fournitures</t>
        </is>
      </c>
      <c r="E470" s="21" t="n">
        <v>20000</v>
      </c>
      <c r="F470" s="21" t="n">
        <v>18155</v>
      </c>
      <c r="G470" s="39">
        <f>F470-E470</f>
        <v/>
      </c>
      <c r="H470" s="40">
        <f>IF(E470=0,0,(F470-E470)/E470)</f>
        <v/>
      </c>
      <c r="I470" s="41">
        <f>IF(H470&gt;0.1,"⚠️ Dépassement",IF(H470&lt;-0.1,"✅ Économie","🔵 Normal"))</f>
        <v/>
      </c>
      <c r="J470" s="21">
        <f>SUMPRODUCT((B$3:B470=B470)*(C$3:C470=C470)*(D$3:D470=D470)*E$3:E470)</f>
        <v/>
      </c>
      <c r="K470" s="21">
        <f>SUMPRODUCT((B$3:B470=B470)*(C$3:C470=C470)*(D$3:D470=D470)*F$3:F470)</f>
        <v/>
      </c>
      <c r="L470" s="22">
        <f>IF(J470=0,0,K470/J470)</f>
        <v/>
      </c>
    </row>
    <row r="471">
      <c r="A471" s="37" t="inlineStr">
        <is>
          <t>Décembre</t>
        </is>
      </c>
      <c r="B471" s="37" t="n">
        <v>12</v>
      </c>
      <c r="C471" s="37" t="inlineStr">
        <is>
          <t>IT</t>
        </is>
      </c>
      <c r="D471" s="37" t="inlineStr">
        <is>
          <t>Informatique &amp; Licences</t>
        </is>
      </c>
      <c r="E471" s="38" t="n">
        <v>50000</v>
      </c>
      <c r="F471" s="38" t="n">
        <v>49717</v>
      </c>
      <c r="G471" s="39">
        <f>F471-E471</f>
        <v/>
      </c>
      <c r="H471" s="40">
        <f>IF(E471=0,0,(F471-E471)/E471)</f>
        <v/>
      </c>
      <c r="I471" s="41">
        <f>IF(H471&gt;0.1,"⚠️ Dépassement",IF(H471&lt;-0.1,"✅ Économie","🔵 Normal"))</f>
        <v/>
      </c>
      <c r="J471" s="38">
        <f>SUMPRODUCT((B$3:B471=B471)*(C$3:C471=C471)*(D$3:D471=D471)*E$3:E471)</f>
        <v/>
      </c>
      <c r="K471" s="38">
        <f>SUMPRODUCT((B$3:B471=B471)*(C$3:C471=C471)*(D$3:D471=D471)*F$3:F471)</f>
        <v/>
      </c>
      <c r="L471" s="42">
        <f>IF(J471=0,0,K471/J471)</f>
        <v/>
      </c>
    </row>
    <row r="472">
      <c r="A472" s="23" t="inlineStr">
        <is>
          <t>Décembre</t>
        </is>
      </c>
      <c r="B472" s="23" t="n">
        <v>12</v>
      </c>
      <c r="C472" s="23" t="inlineStr">
        <is>
          <t>IT</t>
        </is>
      </c>
      <c r="D472" s="23" t="inlineStr">
        <is>
          <t>Déplacements &amp; Missions</t>
        </is>
      </c>
      <c r="E472" s="21" t="n">
        <v>8000</v>
      </c>
      <c r="F472" s="21" t="n">
        <v>6653</v>
      </c>
      <c r="G472" s="39">
        <f>F472-E472</f>
        <v/>
      </c>
      <c r="H472" s="40">
        <f>IF(E472=0,0,(F472-E472)/E472)</f>
        <v/>
      </c>
      <c r="I472" s="41">
        <f>IF(H472&gt;0.1,"⚠️ Dépassement",IF(H472&lt;-0.1,"✅ Économie","🔵 Normal"))</f>
        <v/>
      </c>
      <c r="J472" s="21">
        <f>SUMPRODUCT((B$3:B472=B472)*(C$3:C472=C472)*(D$3:D472=D472)*E$3:E472)</f>
        <v/>
      </c>
      <c r="K472" s="21">
        <f>SUMPRODUCT((B$3:B472=B472)*(C$3:C472=C472)*(D$3:D472=D472)*F$3:F472)</f>
        <v/>
      </c>
      <c r="L472" s="22">
        <f>IF(J472=0,0,K472/J472)</f>
        <v/>
      </c>
    </row>
    <row r="473">
      <c r="A473" s="37" t="inlineStr">
        <is>
          <t>Décembre</t>
        </is>
      </c>
      <c r="B473" s="37" t="n">
        <v>12</v>
      </c>
      <c r="C473" s="37" t="inlineStr">
        <is>
          <t>IT</t>
        </is>
      </c>
      <c r="D473" s="37" t="inlineStr">
        <is>
          <t>Formation</t>
        </is>
      </c>
      <c r="E473" s="38" t="n">
        <v>18000</v>
      </c>
      <c r="F473" s="38" t="n">
        <v>17180</v>
      </c>
      <c r="G473" s="39">
        <f>F473-E473</f>
        <v/>
      </c>
      <c r="H473" s="40">
        <f>IF(E473=0,0,(F473-E473)/E473)</f>
        <v/>
      </c>
      <c r="I473" s="41">
        <f>IF(H473&gt;0.1,"⚠️ Dépassement",IF(H473&lt;-0.1,"✅ Économie","🔵 Normal"))</f>
        <v/>
      </c>
      <c r="J473" s="38">
        <f>SUMPRODUCT((B$3:B473=B473)*(C$3:C473=C473)*(D$3:D473=D473)*E$3:E473)</f>
        <v/>
      </c>
      <c r="K473" s="38">
        <f>SUMPRODUCT((B$3:B473=B473)*(C$3:C473=C473)*(D$3:D473=D473)*F$3:F473)</f>
        <v/>
      </c>
      <c r="L473" s="42">
        <f>IF(J473=0,0,K473/J473)</f>
        <v/>
      </c>
    </row>
    <row r="474">
      <c r="A474" s="23" t="inlineStr">
        <is>
          <t>Décembre</t>
        </is>
      </c>
      <c r="B474" s="23" t="n">
        <v>12</v>
      </c>
      <c r="C474" s="23" t="inlineStr">
        <is>
          <t>IT</t>
        </is>
      </c>
      <c r="D474" s="23" t="inlineStr">
        <is>
          <t>Publicité &amp; Communication</t>
        </is>
      </c>
      <c r="E474" s="21" t="n">
        <v>4000</v>
      </c>
      <c r="F474" s="21" t="n">
        <v>4367</v>
      </c>
      <c r="G474" s="39">
        <f>F474-E474</f>
        <v/>
      </c>
      <c r="H474" s="40">
        <f>IF(E474=0,0,(F474-E474)/E474)</f>
        <v/>
      </c>
      <c r="I474" s="41">
        <f>IF(H474&gt;0.1,"⚠️ Dépassement",IF(H474&lt;-0.1,"✅ Économie","🔵 Normal"))</f>
        <v/>
      </c>
      <c r="J474" s="21">
        <f>SUMPRODUCT((B$3:B474=B474)*(C$3:C474=C474)*(D$3:D474=D474)*E$3:E474)</f>
        <v/>
      </c>
      <c r="K474" s="21">
        <f>SUMPRODUCT((B$3:B474=B474)*(C$3:C474=C474)*(D$3:D474=D474)*F$3:F474)</f>
        <v/>
      </c>
      <c r="L474" s="22">
        <f>IF(J474=0,0,K474/J474)</f>
        <v/>
      </c>
    </row>
    <row r="475">
      <c r="A475" s="37" t="inlineStr">
        <is>
          <t>Décembre</t>
        </is>
      </c>
      <c r="B475" s="37" t="n">
        <v>12</v>
      </c>
      <c r="C475" s="37" t="inlineStr">
        <is>
          <t>Administration</t>
        </is>
      </c>
      <c r="D475" s="37" t="inlineStr">
        <is>
          <t>Salaires</t>
        </is>
      </c>
      <c r="E475" s="38" t="n">
        <v>75000</v>
      </c>
      <c r="F475" s="38" t="n">
        <v>80614</v>
      </c>
      <c r="G475" s="39">
        <f>F475-E475</f>
        <v/>
      </c>
      <c r="H475" s="40">
        <f>IF(E475=0,0,(F475-E475)/E475)</f>
        <v/>
      </c>
      <c r="I475" s="41">
        <f>IF(H475&gt;0.1,"⚠️ Dépassement",IF(H475&lt;-0.1,"✅ Économie","🔵 Normal"))</f>
        <v/>
      </c>
      <c r="J475" s="38">
        <f>SUMPRODUCT((B$3:B475=B475)*(C$3:C475=C475)*(D$3:D475=D475)*E$3:E475)</f>
        <v/>
      </c>
      <c r="K475" s="38">
        <f>SUMPRODUCT((B$3:B475=B475)*(C$3:C475=C475)*(D$3:D475=D475)*F$3:F475)</f>
        <v/>
      </c>
      <c r="L475" s="42">
        <f>IF(J475=0,0,K475/J475)</f>
        <v/>
      </c>
    </row>
    <row r="476">
      <c r="A476" s="23" t="inlineStr">
        <is>
          <t>Décembre</t>
        </is>
      </c>
      <c r="B476" s="23" t="n">
        <v>12</v>
      </c>
      <c r="C476" s="23" t="inlineStr">
        <is>
          <t>Administration</t>
        </is>
      </c>
      <c r="D476" s="23" t="inlineStr">
        <is>
          <t>Charges sociales</t>
        </is>
      </c>
      <c r="E476" s="21" t="n">
        <v>22500</v>
      </c>
      <c r="F476" s="21" t="n">
        <v>22657</v>
      </c>
      <c r="G476" s="39">
        <f>F476-E476</f>
        <v/>
      </c>
      <c r="H476" s="40">
        <f>IF(E476=0,0,(F476-E476)/E476)</f>
        <v/>
      </c>
      <c r="I476" s="41">
        <f>IF(H476&gt;0.1,"⚠️ Dépassement",IF(H476&lt;-0.1,"✅ Économie","🔵 Normal"))</f>
        <v/>
      </c>
      <c r="J476" s="21">
        <f>SUMPRODUCT((B$3:B476=B476)*(C$3:C476=C476)*(D$3:D476=D476)*E$3:E476)</f>
        <v/>
      </c>
      <c r="K476" s="21">
        <f>SUMPRODUCT((B$3:B476=B476)*(C$3:C476=C476)*(D$3:D476=D476)*F$3:F476)</f>
        <v/>
      </c>
      <c r="L476" s="22">
        <f>IF(J476=0,0,K476/J476)</f>
        <v/>
      </c>
    </row>
    <row r="477">
      <c r="A477" s="37" t="inlineStr">
        <is>
          <t>Décembre</t>
        </is>
      </c>
      <c r="B477" s="37" t="n">
        <v>12</v>
      </c>
      <c r="C477" s="37" t="inlineStr">
        <is>
          <t>Administration</t>
        </is>
      </c>
      <c r="D477" s="37" t="inlineStr">
        <is>
          <t>Loyer &amp; Charges</t>
        </is>
      </c>
      <c r="E477" s="38" t="n">
        <v>18000</v>
      </c>
      <c r="F477" s="38" t="n">
        <v>15679</v>
      </c>
      <c r="G477" s="39">
        <f>F477-E477</f>
        <v/>
      </c>
      <c r="H477" s="40">
        <f>IF(E477=0,0,(F477-E477)/E477)</f>
        <v/>
      </c>
      <c r="I477" s="41">
        <f>IF(H477&gt;0.1,"⚠️ Dépassement",IF(H477&lt;-0.1,"✅ Économie","🔵 Normal"))</f>
        <v/>
      </c>
      <c r="J477" s="38">
        <f>SUMPRODUCT((B$3:B477=B477)*(C$3:C477=C477)*(D$3:D477=D477)*E$3:E477)</f>
        <v/>
      </c>
      <c r="K477" s="38">
        <f>SUMPRODUCT((B$3:B477=B477)*(C$3:C477=C477)*(D$3:D477=D477)*F$3:F477)</f>
        <v/>
      </c>
      <c r="L477" s="42">
        <f>IF(J477=0,0,K477/J477)</f>
        <v/>
      </c>
    </row>
    <row r="478">
      <c r="A478" s="23" t="inlineStr">
        <is>
          <t>Décembre</t>
        </is>
      </c>
      <c r="B478" s="23" t="n">
        <v>12</v>
      </c>
      <c r="C478" s="23" t="inlineStr">
        <is>
          <t>Administration</t>
        </is>
      </c>
      <c r="D478" s="23" t="inlineStr">
        <is>
          <t>Matières &amp; Fournitures</t>
        </is>
      </c>
      <c r="E478" s="21" t="n">
        <v>12000</v>
      </c>
      <c r="F478" s="21" t="n">
        <v>12827</v>
      </c>
      <c r="G478" s="39">
        <f>F478-E478</f>
        <v/>
      </c>
      <c r="H478" s="40">
        <f>IF(E478=0,0,(F478-E478)/E478)</f>
        <v/>
      </c>
      <c r="I478" s="41">
        <f>IF(H478&gt;0.1,"⚠️ Dépassement",IF(H478&lt;-0.1,"✅ Économie","🔵 Normal"))</f>
        <v/>
      </c>
      <c r="J478" s="21">
        <f>SUMPRODUCT((B$3:B478=B478)*(C$3:C478=C478)*(D$3:D478=D478)*E$3:E478)</f>
        <v/>
      </c>
      <c r="K478" s="21">
        <f>SUMPRODUCT((B$3:B478=B478)*(C$3:C478=C478)*(D$3:D478=D478)*F$3:F478)</f>
        <v/>
      </c>
      <c r="L478" s="22">
        <f>IF(J478=0,0,K478/J478)</f>
        <v/>
      </c>
    </row>
    <row r="479">
      <c r="A479" s="37" t="inlineStr">
        <is>
          <t>Décembre</t>
        </is>
      </c>
      <c r="B479" s="37" t="n">
        <v>12</v>
      </c>
      <c r="C479" s="37" t="inlineStr">
        <is>
          <t>Administration</t>
        </is>
      </c>
      <c r="D479" s="37" t="inlineStr">
        <is>
          <t>Informatique &amp; Licences</t>
        </is>
      </c>
      <c r="E479" s="38" t="n">
        <v>6000</v>
      </c>
      <c r="F479" s="38" t="n">
        <v>4985</v>
      </c>
      <c r="G479" s="39">
        <f>F479-E479</f>
        <v/>
      </c>
      <c r="H479" s="40">
        <f>IF(E479=0,0,(F479-E479)/E479)</f>
        <v/>
      </c>
      <c r="I479" s="41">
        <f>IF(H479&gt;0.1,"⚠️ Dépassement",IF(H479&lt;-0.1,"✅ Économie","🔵 Normal"))</f>
        <v/>
      </c>
      <c r="J479" s="38">
        <f>SUMPRODUCT((B$3:B479=B479)*(C$3:C479=C479)*(D$3:D479=D479)*E$3:E479)</f>
        <v/>
      </c>
      <c r="K479" s="38">
        <f>SUMPRODUCT((B$3:B479=B479)*(C$3:C479=C479)*(D$3:D479=D479)*F$3:F479)</f>
        <v/>
      </c>
      <c r="L479" s="42">
        <f>IF(J479=0,0,K479/J479)</f>
        <v/>
      </c>
    </row>
    <row r="480">
      <c r="A480" s="23" t="inlineStr">
        <is>
          <t>Décembre</t>
        </is>
      </c>
      <c r="B480" s="23" t="n">
        <v>12</v>
      </c>
      <c r="C480" s="23" t="inlineStr">
        <is>
          <t>Administration</t>
        </is>
      </c>
      <c r="D480" s="23" t="inlineStr">
        <is>
          <t>Déplacements &amp; Missions</t>
        </is>
      </c>
      <c r="E480" s="21" t="n">
        <v>9000</v>
      </c>
      <c r="F480" s="21" t="n">
        <v>8798</v>
      </c>
      <c r="G480" s="39">
        <f>F480-E480</f>
        <v/>
      </c>
      <c r="H480" s="40">
        <f>IF(E480=0,0,(F480-E480)/E480)</f>
        <v/>
      </c>
      <c r="I480" s="41">
        <f>IF(H480&gt;0.1,"⚠️ Dépassement",IF(H480&lt;-0.1,"✅ Économie","🔵 Normal"))</f>
        <v/>
      </c>
      <c r="J480" s="21">
        <f>SUMPRODUCT((B$3:B480=B480)*(C$3:C480=C480)*(D$3:D480=D480)*E$3:E480)</f>
        <v/>
      </c>
      <c r="K480" s="21">
        <f>SUMPRODUCT((B$3:B480=B480)*(C$3:C480=C480)*(D$3:D480=D480)*F$3:F480)</f>
        <v/>
      </c>
      <c r="L480" s="22">
        <f>IF(J480=0,0,K480/J480)</f>
        <v/>
      </c>
    </row>
    <row r="481">
      <c r="A481" s="37" t="inlineStr">
        <is>
          <t>Décembre</t>
        </is>
      </c>
      <c r="B481" s="37" t="n">
        <v>12</v>
      </c>
      <c r="C481" s="37" t="inlineStr">
        <is>
          <t>Administration</t>
        </is>
      </c>
      <c r="D481" s="37" t="inlineStr">
        <is>
          <t>Formation</t>
        </is>
      </c>
      <c r="E481" s="38" t="n">
        <v>5000</v>
      </c>
      <c r="F481" s="38" t="n">
        <v>5229</v>
      </c>
      <c r="G481" s="39">
        <f>F481-E481</f>
        <v/>
      </c>
      <c r="H481" s="40">
        <f>IF(E481=0,0,(F481-E481)/E481)</f>
        <v/>
      </c>
      <c r="I481" s="41">
        <f>IF(H481&gt;0.1,"⚠️ Dépassement",IF(H481&lt;-0.1,"✅ Économie","🔵 Normal"))</f>
        <v/>
      </c>
      <c r="J481" s="38">
        <f>SUMPRODUCT((B$3:B481=B481)*(C$3:C481=C481)*(D$3:D481=D481)*E$3:E481)</f>
        <v/>
      </c>
      <c r="K481" s="38">
        <f>SUMPRODUCT((B$3:B481=B481)*(C$3:C481=C481)*(D$3:D481=D481)*F$3:F481)</f>
        <v/>
      </c>
      <c r="L481" s="42">
        <f>IF(J481=0,0,K481/J481)</f>
        <v/>
      </c>
    </row>
    <row r="482">
      <c r="A482" s="23" t="inlineStr">
        <is>
          <t>Décembre</t>
        </is>
      </c>
      <c r="B482" s="23" t="n">
        <v>12</v>
      </c>
      <c r="C482" s="23" t="inlineStr">
        <is>
          <t>Administration</t>
        </is>
      </c>
      <c r="D482" s="23" t="inlineStr">
        <is>
          <t>Publicité &amp; Communication</t>
        </is>
      </c>
      <c r="E482" s="21" t="n">
        <v>2000</v>
      </c>
      <c r="F482" s="21" t="n">
        <v>1662</v>
      </c>
      <c r="G482" s="39">
        <f>F482-E482</f>
        <v/>
      </c>
      <c r="H482" s="40">
        <f>IF(E482=0,0,(F482-E482)/E482)</f>
        <v/>
      </c>
      <c r="I482" s="41">
        <f>IF(H482&gt;0.1,"⚠️ Dépassement",IF(H482&lt;-0.1,"✅ Économie","🔵 Normal"))</f>
        <v/>
      </c>
      <c r="J482" s="21">
        <f>SUMPRODUCT((B$3:B482=B482)*(C$3:C482=C482)*(D$3:D482=D482)*E$3:E482)</f>
        <v/>
      </c>
      <c r="K482" s="21">
        <f>SUMPRODUCT((B$3:B482=B482)*(C$3:C482=C482)*(D$3:D482=D482)*F$3:F482)</f>
        <v/>
      </c>
      <c r="L482" s="22">
        <f>IF(J482=0,0,K482/J482)</f>
        <v/>
      </c>
    </row>
  </sheetData>
  <mergeCells count="1">
    <mergeCell ref="A1:L1"/>
  </mergeCells>
  <conditionalFormatting sqref="I3:I482">
    <cfRule type="expression" priority="1" dxfId="2">
      <formula>ISNUMBER(SEARCH("Dépassement",I3))</formula>
    </cfRule>
    <cfRule type="expression" priority="2" dxfId="3">
      <formula>ISNUMBER(SEARCH("Économie",I3))</formula>
    </cfRule>
  </conditionalFormatting>
  <conditionalFormatting sqref="H3:H482">
    <cfRule type="cellIs" priority="3" operator="greaterThan" dxfId="4">
      <formula>0.1</formula>
    </cfRule>
    <cfRule type="cellIs" priority="4" operator="lessThan" dxfId="5">
      <formula>-0.1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2" customWidth="1" min="5" max="5"/>
    <col width="18" customWidth="1" min="6" max="6"/>
    <col width="16" customWidth="1" min="7" max="7"/>
    <col width="12" customWidth="1" min="8" max="8"/>
    <col width="18" customWidth="1" min="9" max="9"/>
    <col width="22" customWidth="1" min="10" max="10"/>
  </cols>
  <sheetData>
    <row r="1" ht="32" customHeight="1">
      <c r="A1" s="35" t="inlineStr">
        <is>
          <t>ANALYSE BUDGÉTAIRE PAR DÉPARTEMENT — Budget vs Réalisé | ENCG SETTAT 2024-2025</t>
        </is>
      </c>
    </row>
    <row r="3" ht="24" customHeight="1">
      <c r="A3" s="18" t="inlineStr">
        <is>
          <t xml:space="preserve">  ▌ SYNTHÈSE ANNUELLE PAR DÉPARTEMENT</t>
        </is>
      </c>
    </row>
    <row r="4" ht="36" customHeight="1">
      <c r="A4" s="43" t="inlineStr">
        <is>
          <t>Département</t>
        </is>
      </c>
      <c r="B4" s="43" t="inlineStr">
        <is>
          <t>Budget Total (MAD)</t>
        </is>
      </c>
      <c r="C4" s="43" t="inlineStr">
        <is>
          <t>Réalisé Total (MAD)</t>
        </is>
      </c>
      <c r="D4" s="43" t="inlineStr">
        <is>
          <t>Écart (MAD)</t>
        </is>
      </c>
      <c r="E4" s="43" t="inlineStr">
        <is>
          <t>Écart (%)</t>
        </is>
      </c>
      <c r="F4" s="43" t="inlineStr">
        <is>
          <t>Taux Consommation</t>
        </is>
      </c>
      <c r="G4" s="43" t="inlineStr">
        <is>
          <t>Nb Dépassements</t>
        </is>
      </c>
      <c r="H4" s="43" t="inlineStr">
        <is>
          <t>Nb Économies</t>
        </is>
      </c>
      <c r="I4" s="43" t="inlineStr">
        <is>
          <t>Statut Global</t>
        </is>
      </c>
      <c r="J4" s="43" t="inlineStr">
        <is>
          <t>Prévision Fin Année (MAD)</t>
        </is>
      </c>
    </row>
    <row r="5">
      <c r="A5" s="20" t="inlineStr">
        <is>
          <t>RH</t>
        </is>
      </c>
      <c r="B5" s="21">
        <f>SUMIF('📊 Données Brutes'!C:C,A5,'📊 Données Brutes'!E:E)</f>
        <v/>
      </c>
      <c r="C5" s="21">
        <f>SUMIF('📊 Données Brutes'!C:C,A5,'📊 Données Brutes'!F:F)</f>
        <v/>
      </c>
      <c r="D5" s="44">
        <f>C5-B5</f>
        <v/>
      </c>
      <c r="E5" s="22">
        <f>IF(B5=0,0,(C5-B5)/B5)</f>
        <v/>
      </c>
      <c r="F5" s="22">
        <f>IF(B5=0,0,C5/B5)</f>
        <v/>
      </c>
      <c r="G5" s="45">
        <f>COUNTIFS('📊 Données Brutes'!C:C,A5,'📊 Données Brutes'!I:I,"⚠️ Dépassement")</f>
        <v/>
      </c>
      <c r="H5" s="45">
        <f>COUNTIFS('📊 Données Brutes'!C:C,A5,'📊 Données Brutes'!I:I,"✅ Économie")</f>
        <v/>
      </c>
      <c r="I5" s="23">
        <f>IF(E5&gt;0.1,"🔴 Dépassement",IF(E5&lt;-0.1,"🟢 Sous budget","🟡 Normal"))</f>
        <v/>
      </c>
      <c r="J5" s="21">
        <f>C5/COUNTIF('📊 Données Brutes'!C:C,A5)*96</f>
        <v/>
      </c>
    </row>
    <row r="6">
      <c r="A6" s="24" t="inlineStr">
        <is>
          <t>Marketing</t>
        </is>
      </c>
      <c r="B6" s="25">
        <f>SUMIF('📊 Données Brutes'!C:C,A6,'📊 Données Brutes'!E:E)</f>
        <v/>
      </c>
      <c r="C6" s="25">
        <f>SUMIF('📊 Données Brutes'!C:C,A6,'📊 Données Brutes'!F:F)</f>
        <v/>
      </c>
      <c r="D6" s="46">
        <f>C6-B6</f>
        <v/>
      </c>
      <c r="E6" s="26">
        <f>IF(B6=0,0,(C6-B6)/B6)</f>
        <v/>
      </c>
      <c r="F6" s="26">
        <f>IF(B6=0,0,C6/B6)</f>
        <v/>
      </c>
      <c r="G6" s="47">
        <f>COUNTIFS('📊 Données Brutes'!C:C,A6,'📊 Données Brutes'!I:I,"⚠️ Dépassement")</f>
        <v/>
      </c>
      <c r="H6" s="47">
        <f>COUNTIFS('📊 Données Brutes'!C:C,A6,'📊 Données Brutes'!I:I,"✅ Économie")</f>
        <v/>
      </c>
      <c r="I6" s="27">
        <f>IF(E6&gt;0.1,"🔴 Dépassement",IF(E6&lt;-0.1,"🟢 Sous budget","🟡 Normal"))</f>
        <v/>
      </c>
      <c r="J6" s="25">
        <f>C6/COUNTIF('📊 Données Brutes'!C:C,A6)*96</f>
        <v/>
      </c>
    </row>
    <row r="7">
      <c r="A7" s="20" t="inlineStr">
        <is>
          <t>Production</t>
        </is>
      </c>
      <c r="B7" s="21">
        <f>SUMIF('📊 Données Brutes'!C:C,A7,'📊 Données Brutes'!E:E)</f>
        <v/>
      </c>
      <c r="C7" s="21">
        <f>SUMIF('📊 Données Brutes'!C:C,A7,'📊 Données Brutes'!F:F)</f>
        <v/>
      </c>
      <c r="D7" s="44">
        <f>C7-B7</f>
        <v/>
      </c>
      <c r="E7" s="22">
        <f>IF(B7=0,0,(C7-B7)/B7)</f>
        <v/>
      </c>
      <c r="F7" s="22">
        <f>IF(B7=0,0,C7/B7)</f>
        <v/>
      </c>
      <c r="G7" s="45">
        <f>COUNTIFS('📊 Données Brutes'!C:C,A7,'📊 Données Brutes'!I:I,"⚠️ Dépassement")</f>
        <v/>
      </c>
      <c r="H7" s="45">
        <f>COUNTIFS('📊 Données Brutes'!C:C,A7,'📊 Données Brutes'!I:I,"✅ Économie")</f>
        <v/>
      </c>
      <c r="I7" s="23">
        <f>IF(E7&gt;0.1,"🔴 Dépassement",IF(E7&lt;-0.1,"🟢 Sous budget","🟡 Normal"))</f>
        <v/>
      </c>
      <c r="J7" s="21">
        <f>C7/COUNTIF('📊 Données Brutes'!C:C,A7)*96</f>
        <v/>
      </c>
    </row>
    <row r="8">
      <c r="A8" s="24" t="inlineStr">
        <is>
          <t>IT</t>
        </is>
      </c>
      <c r="B8" s="25">
        <f>SUMIF('📊 Données Brutes'!C:C,A8,'📊 Données Brutes'!E:E)</f>
        <v/>
      </c>
      <c r="C8" s="25">
        <f>SUMIF('📊 Données Brutes'!C:C,A8,'📊 Données Brutes'!F:F)</f>
        <v/>
      </c>
      <c r="D8" s="46">
        <f>C8-B8</f>
        <v/>
      </c>
      <c r="E8" s="26">
        <f>IF(B8=0,0,(C8-B8)/B8)</f>
        <v/>
      </c>
      <c r="F8" s="26">
        <f>IF(B8=0,0,C8/B8)</f>
        <v/>
      </c>
      <c r="G8" s="47">
        <f>COUNTIFS('📊 Données Brutes'!C:C,A8,'📊 Données Brutes'!I:I,"⚠️ Dépassement")</f>
        <v/>
      </c>
      <c r="H8" s="47">
        <f>COUNTIFS('📊 Données Brutes'!C:C,A8,'📊 Données Brutes'!I:I,"✅ Économie")</f>
        <v/>
      </c>
      <c r="I8" s="27">
        <f>IF(E8&gt;0.1,"🔴 Dépassement",IF(E8&lt;-0.1,"🟢 Sous budget","🟡 Normal"))</f>
        <v/>
      </c>
      <c r="J8" s="25">
        <f>C8/COUNTIF('📊 Données Brutes'!C:C,A8)*96</f>
        <v/>
      </c>
    </row>
    <row r="9">
      <c r="A9" s="20" t="inlineStr">
        <is>
          <t>Administration</t>
        </is>
      </c>
      <c r="B9" s="21">
        <f>SUMIF('📊 Données Brutes'!C:C,A9,'📊 Données Brutes'!E:E)</f>
        <v/>
      </c>
      <c r="C9" s="21">
        <f>SUMIF('📊 Données Brutes'!C:C,A9,'📊 Données Brutes'!F:F)</f>
        <v/>
      </c>
      <c r="D9" s="44">
        <f>C9-B9</f>
        <v/>
      </c>
      <c r="E9" s="22">
        <f>IF(B9=0,0,(C9-B9)/B9)</f>
        <v/>
      </c>
      <c r="F9" s="22">
        <f>IF(B9=0,0,C9/B9)</f>
        <v/>
      </c>
      <c r="G9" s="45">
        <f>COUNTIFS('📊 Données Brutes'!C:C,A9,'📊 Données Brutes'!I:I,"⚠️ Dépassement")</f>
        <v/>
      </c>
      <c r="H9" s="45">
        <f>COUNTIFS('📊 Données Brutes'!C:C,A9,'📊 Données Brutes'!I:I,"✅ Économie")</f>
        <v/>
      </c>
      <c r="I9" s="23">
        <f>IF(E9&gt;0.1,"🔴 Dépassement",IF(E9&lt;-0.1,"🟢 Sous budget","🟡 Normal"))</f>
        <v/>
      </c>
      <c r="J9" s="21">
        <f>C9/COUNTIF('📊 Données Brutes'!C:C,A9)*96</f>
        <v/>
      </c>
    </row>
    <row r="10">
      <c r="A10" s="48" t="inlineStr">
        <is>
          <t>TOTAL GÉNÉRAL</t>
        </is>
      </c>
      <c r="B10" s="49">
        <f>SUM(B5:B9)</f>
        <v/>
      </c>
      <c r="C10" s="49">
        <f>SUM(C5:C9)</f>
        <v/>
      </c>
      <c r="D10" s="49">
        <f>SUM(D5:D9)</f>
        <v/>
      </c>
      <c r="E10" s="50">
        <f>IF(B10=0,0,(C10-B10)/B10)</f>
        <v/>
      </c>
      <c r="F10" s="50">
        <f>IF(B10=0,0,C10/B10)</f>
        <v/>
      </c>
      <c r="G10" s="48">
        <f>SUM(G5:G9)</f>
        <v/>
      </c>
      <c r="H10" s="48">
        <f>SUM(H5:H9)</f>
        <v/>
      </c>
      <c r="I10" s="48" t="n"/>
      <c r="J10" s="49">
        <f>SUM(J5:J9)</f>
        <v/>
      </c>
    </row>
    <row r="12" ht="8" customHeight="1"/>
    <row r="13" ht="24" customHeight="1">
      <c r="A13" s="18" t="inlineStr">
        <is>
          <t xml:space="preserve">  ▌ SYNTHÈSE MENSUELLE — TOUS DÉPARTEMENTS CONFONDUS</t>
        </is>
      </c>
    </row>
    <row r="14" ht="36" customHeight="1">
      <c r="A14" s="43" t="inlineStr">
        <is>
          <t>Mois</t>
        </is>
      </c>
      <c r="B14" s="43" t="inlineStr">
        <is>
          <t>N° Mois</t>
        </is>
      </c>
      <c r="C14" s="43" t="inlineStr">
        <is>
          <t>Budget (MAD)</t>
        </is>
      </c>
      <c r="D14" s="43" t="inlineStr">
        <is>
          <t>Réalisé (MAD)</t>
        </is>
      </c>
      <c r="E14" s="43" t="inlineStr">
        <is>
          <t>Écart (MAD)</t>
        </is>
      </c>
      <c r="F14" s="43" t="inlineStr">
        <is>
          <t>Écart (%)</t>
        </is>
      </c>
      <c r="G14" s="43" t="inlineStr">
        <is>
          <t>Taux Consommation</t>
        </is>
      </c>
      <c r="H14" s="43" t="inlineStr">
        <is>
          <t>Cumulé Budget</t>
        </is>
      </c>
      <c r="I14" s="43" t="inlineStr">
        <is>
          <t>Cumulé Réalisé</t>
        </is>
      </c>
      <c r="J14" s="43" t="inlineStr">
        <is>
          <t>Statut</t>
        </is>
      </c>
    </row>
    <row r="15">
      <c r="A15" s="23" t="inlineStr">
        <is>
          <t>Janvier</t>
        </is>
      </c>
      <c r="B15" s="45" t="n">
        <v>1</v>
      </c>
      <c r="C15" s="21">
        <f>SUMIF('📊 Données Brutes'!B:B,1,'📊 Données Brutes'!E:E)</f>
        <v/>
      </c>
      <c r="D15" s="21">
        <f>SUMIF('📊 Données Brutes'!B:B,1,'📊 Données Brutes'!F:F)</f>
        <v/>
      </c>
      <c r="E15" s="21">
        <f>D15-C15</f>
        <v/>
      </c>
      <c r="F15" s="22">
        <f>IF(C15=0,0,(D15-C15)/C15)</f>
        <v/>
      </c>
      <c r="G15" s="22">
        <f>IF(C15=0,0,D15/C15)</f>
        <v/>
      </c>
      <c r="H15" s="21">
        <f>SUM(C15:C15)</f>
        <v/>
      </c>
      <c r="I15" s="21">
        <f>SUM(D15:D15)</f>
        <v/>
      </c>
      <c r="J15" s="23">
        <f>IF(F15&gt;0.1,"⚠️ Dépassement",IF(F15&lt;-0.1,"✅ Économie","🔵 Normal"))</f>
        <v/>
      </c>
    </row>
    <row r="16">
      <c r="A16" s="27" t="inlineStr">
        <is>
          <t>Février</t>
        </is>
      </c>
      <c r="B16" s="47" t="n">
        <v>2</v>
      </c>
      <c r="C16" s="25">
        <f>SUMIF('📊 Données Brutes'!B:B,2,'📊 Données Brutes'!E:E)</f>
        <v/>
      </c>
      <c r="D16" s="25">
        <f>SUMIF('📊 Données Brutes'!B:B,2,'📊 Données Brutes'!F:F)</f>
        <v/>
      </c>
      <c r="E16" s="25">
        <f>D16-C16</f>
        <v/>
      </c>
      <c r="F16" s="26">
        <f>IF(C16=0,0,(D16-C16)/C16)</f>
        <v/>
      </c>
      <c r="G16" s="26">
        <f>IF(C16=0,0,D16/C16)</f>
        <v/>
      </c>
      <c r="H16" s="25">
        <f>SUM(C15:C16)</f>
        <v/>
      </c>
      <c r="I16" s="25">
        <f>SUM(D15:D16)</f>
        <v/>
      </c>
      <c r="J16" s="27">
        <f>IF(F16&gt;0.1,"⚠️ Dépassement",IF(F16&lt;-0.1,"✅ Économie","🔵 Normal"))</f>
        <v/>
      </c>
    </row>
    <row r="17">
      <c r="A17" s="23" t="inlineStr">
        <is>
          <t>Mars</t>
        </is>
      </c>
      <c r="B17" s="45" t="n">
        <v>3</v>
      </c>
      <c r="C17" s="21">
        <f>SUMIF('📊 Données Brutes'!B:B,3,'📊 Données Brutes'!E:E)</f>
        <v/>
      </c>
      <c r="D17" s="21">
        <f>SUMIF('📊 Données Brutes'!B:B,3,'📊 Données Brutes'!F:F)</f>
        <v/>
      </c>
      <c r="E17" s="21">
        <f>D17-C17</f>
        <v/>
      </c>
      <c r="F17" s="22">
        <f>IF(C17=0,0,(D17-C17)/C17)</f>
        <v/>
      </c>
      <c r="G17" s="22">
        <f>IF(C17=0,0,D17/C17)</f>
        <v/>
      </c>
      <c r="H17" s="21">
        <f>SUM(C15:C17)</f>
        <v/>
      </c>
      <c r="I17" s="21">
        <f>SUM(D15:D17)</f>
        <v/>
      </c>
      <c r="J17" s="23">
        <f>IF(F17&gt;0.1,"⚠️ Dépassement",IF(F17&lt;-0.1,"✅ Économie","🔵 Normal"))</f>
        <v/>
      </c>
    </row>
    <row r="18">
      <c r="A18" s="27" t="inlineStr">
        <is>
          <t>Avril</t>
        </is>
      </c>
      <c r="B18" s="47" t="n">
        <v>4</v>
      </c>
      <c r="C18" s="25">
        <f>SUMIF('📊 Données Brutes'!B:B,4,'📊 Données Brutes'!E:E)</f>
        <v/>
      </c>
      <c r="D18" s="25">
        <f>SUMIF('📊 Données Brutes'!B:B,4,'📊 Données Brutes'!F:F)</f>
        <v/>
      </c>
      <c r="E18" s="25">
        <f>D18-C18</f>
        <v/>
      </c>
      <c r="F18" s="26">
        <f>IF(C18=0,0,(D18-C18)/C18)</f>
        <v/>
      </c>
      <c r="G18" s="26">
        <f>IF(C18=0,0,D18/C18)</f>
        <v/>
      </c>
      <c r="H18" s="25">
        <f>SUM(C15:C18)</f>
        <v/>
      </c>
      <c r="I18" s="25">
        <f>SUM(D15:D18)</f>
        <v/>
      </c>
      <c r="J18" s="27">
        <f>IF(F18&gt;0.1,"⚠️ Dépassement",IF(F18&lt;-0.1,"✅ Économie","🔵 Normal"))</f>
        <v/>
      </c>
    </row>
    <row r="19">
      <c r="A19" s="23" t="inlineStr">
        <is>
          <t>Mai</t>
        </is>
      </c>
      <c r="B19" s="45" t="n">
        <v>5</v>
      </c>
      <c r="C19" s="21">
        <f>SUMIF('📊 Données Brutes'!B:B,5,'📊 Données Brutes'!E:E)</f>
        <v/>
      </c>
      <c r="D19" s="21">
        <f>SUMIF('📊 Données Brutes'!B:B,5,'📊 Données Brutes'!F:F)</f>
        <v/>
      </c>
      <c r="E19" s="21">
        <f>D19-C19</f>
        <v/>
      </c>
      <c r="F19" s="22">
        <f>IF(C19=0,0,(D19-C19)/C19)</f>
        <v/>
      </c>
      <c r="G19" s="22">
        <f>IF(C19=0,0,D19/C19)</f>
        <v/>
      </c>
      <c r="H19" s="21">
        <f>SUM(C15:C19)</f>
        <v/>
      </c>
      <c r="I19" s="21">
        <f>SUM(D15:D19)</f>
        <v/>
      </c>
      <c r="J19" s="23">
        <f>IF(F19&gt;0.1,"⚠️ Dépassement",IF(F19&lt;-0.1,"✅ Économie","🔵 Normal"))</f>
        <v/>
      </c>
    </row>
    <row r="20">
      <c r="A20" s="27" t="inlineStr">
        <is>
          <t>Juin</t>
        </is>
      </c>
      <c r="B20" s="47" t="n">
        <v>6</v>
      </c>
      <c r="C20" s="25">
        <f>SUMIF('📊 Données Brutes'!B:B,6,'📊 Données Brutes'!E:E)</f>
        <v/>
      </c>
      <c r="D20" s="25">
        <f>SUMIF('📊 Données Brutes'!B:B,6,'📊 Données Brutes'!F:F)</f>
        <v/>
      </c>
      <c r="E20" s="25">
        <f>D20-C20</f>
        <v/>
      </c>
      <c r="F20" s="26">
        <f>IF(C20=0,0,(D20-C20)/C20)</f>
        <v/>
      </c>
      <c r="G20" s="26">
        <f>IF(C20=0,0,D20/C20)</f>
        <v/>
      </c>
      <c r="H20" s="25">
        <f>SUM(C15:C20)</f>
        <v/>
      </c>
      <c r="I20" s="25">
        <f>SUM(D15:D20)</f>
        <v/>
      </c>
      <c r="J20" s="27">
        <f>IF(F20&gt;0.1,"⚠️ Dépassement",IF(F20&lt;-0.1,"✅ Économie","🔵 Normal"))</f>
        <v/>
      </c>
    </row>
    <row r="21">
      <c r="A21" s="23" t="inlineStr">
        <is>
          <t>Juillet</t>
        </is>
      </c>
      <c r="B21" s="45" t="n">
        <v>7</v>
      </c>
      <c r="C21" s="21">
        <f>SUMIF('📊 Données Brutes'!B:B,7,'📊 Données Brutes'!E:E)</f>
        <v/>
      </c>
      <c r="D21" s="21">
        <f>SUMIF('📊 Données Brutes'!B:B,7,'📊 Données Brutes'!F:F)</f>
        <v/>
      </c>
      <c r="E21" s="21">
        <f>D21-C21</f>
        <v/>
      </c>
      <c r="F21" s="22">
        <f>IF(C21=0,0,(D21-C21)/C21)</f>
        <v/>
      </c>
      <c r="G21" s="22">
        <f>IF(C21=0,0,D21/C21)</f>
        <v/>
      </c>
      <c r="H21" s="21">
        <f>SUM(C15:C21)</f>
        <v/>
      </c>
      <c r="I21" s="21">
        <f>SUM(D15:D21)</f>
        <v/>
      </c>
      <c r="J21" s="23">
        <f>IF(F21&gt;0.1,"⚠️ Dépassement",IF(F21&lt;-0.1,"✅ Économie","🔵 Normal"))</f>
        <v/>
      </c>
    </row>
    <row r="22">
      <c r="A22" s="27" t="inlineStr">
        <is>
          <t>Août</t>
        </is>
      </c>
      <c r="B22" s="47" t="n">
        <v>8</v>
      </c>
      <c r="C22" s="25">
        <f>SUMIF('📊 Données Brutes'!B:B,8,'📊 Données Brutes'!E:E)</f>
        <v/>
      </c>
      <c r="D22" s="25">
        <f>SUMIF('📊 Données Brutes'!B:B,8,'📊 Données Brutes'!F:F)</f>
        <v/>
      </c>
      <c r="E22" s="25">
        <f>D22-C22</f>
        <v/>
      </c>
      <c r="F22" s="26">
        <f>IF(C22=0,0,(D22-C22)/C22)</f>
        <v/>
      </c>
      <c r="G22" s="26">
        <f>IF(C22=0,0,D22/C22)</f>
        <v/>
      </c>
      <c r="H22" s="25">
        <f>SUM(C15:C22)</f>
        <v/>
      </c>
      <c r="I22" s="25">
        <f>SUM(D15:D22)</f>
        <v/>
      </c>
      <c r="J22" s="27">
        <f>IF(F22&gt;0.1,"⚠️ Dépassement",IF(F22&lt;-0.1,"✅ Économie","🔵 Normal"))</f>
        <v/>
      </c>
    </row>
    <row r="23">
      <c r="A23" s="23" t="inlineStr">
        <is>
          <t>Septembre</t>
        </is>
      </c>
      <c r="B23" s="45" t="n">
        <v>9</v>
      </c>
      <c r="C23" s="21">
        <f>SUMIF('📊 Données Brutes'!B:B,9,'📊 Données Brutes'!E:E)</f>
        <v/>
      </c>
      <c r="D23" s="21">
        <f>SUMIF('📊 Données Brutes'!B:B,9,'📊 Données Brutes'!F:F)</f>
        <v/>
      </c>
      <c r="E23" s="21">
        <f>D23-C23</f>
        <v/>
      </c>
      <c r="F23" s="22">
        <f>IF(C23=0,0,(D23-C23)/C23)</f>
        <v/>
      </c>
      <c r="G23" s="22">
        <f>IF(C23=0,0,D23/C23)</f>
        <v/>
      </c>
      <c r="H23" s="21">
        <f>SUM(C15:C23)</f>
        <v/>
      </c>
      <c r="I23" s="21">
        <f>SUM(D15:D23)</f>
        <v/>
      </c>
      <c r="J23" s="23">
        <f>IF(F23&gt;0.1,"⚠️ Dépassement",IF(F23&lt;-0.1,"✅ Économie","🔵 Normal"))</f>
        <v/>
      </c>
    </row>
    <row r="24">
      <c r="A24" s="27" t="inlineStr">
        <is>
          <t>Octobre</t>
        </is>
      </c>
      <c r="B24" s="47" t="n">
        <v>10</v>
      </c>
      <c r="C24" s="25">
        <f>SUMIF('📊 Données Brutes'!B:B,10,'📊 Données Brutes'!E:E)</f>
        <v/>
      </c>
      <c r="D24" s="25">
        <f>SUMIF('📊 Données Brutes'!B:B,10,'📊 Données Brutes'!F:F)</f>
        <v/>
      </c>
      <c r="E24" s="25">
        <f>D24-C24</f>
        <v/>
      </c>
      <c r="F24" s="26">
        <f>IF(C24=0,0,(D24-C24)/C24)</f>
        <v/>
      </c>
      <c r="G24" s="26">
        <f>IF(C24=0,0,D24/C24)</f>
        <v/>
      </c>
      <c r="H24" s="25">
        <f>SUM(C15:C24)</f>
        <v/>
      </c>
      <c r="I24" s="25">
        <f>SUM(D15:D24)</f>
        <v/>
      </c>
      <c r="J24" s="27">
        <f>IF(F24&gt;0.1,"⚠️ Dépassement",IF(F24&lt;-0.1,"✅ Économie","🔵 Normal"))</f>
        <v/>
      </c>
    </row>
    <row r="25">
      <c r="A25" s="23" t="inlineStr">
        <is>
          <t>Novembre</t>
        </is>
      </c>
      <c r="B25" s="45" t="n">
        <v>11</v>
      </c>
      <c r="C25" s="21">
        <f>SUMIF('📊 Données Brutes'!B:B,11,'📊 Données Brutes'!E:E)</f>
        <v/>
      </c>
      <c r="D25" s="21">
        <f>SUMIF('📊 Données Brutes'!B:B,11,'📊 Données Brutes'!F:F)</f>
        <v/>
      </c>
      <c r="E25" s="21">
        <f>D25-C25</f>
        <v/>
      </c>
      <c r="F25" s="22">
        <f>IF(C25=0,0,(D25-C25)/C25)</f>
        <v/>
      </c>
      <c r="G25" s="22">
        <f>IF(C25=0,0,D25/C25)</f>
        <v/>
      </c>
      <c r="H25" s="21">
        <f>SUM(C15:C25)</f>
        <v/>
      </c>
      <c r="I25" s="21">
        <f>SUM(D15:D25)</f>
        <v/>
      </c>
      <c r="J25" s="23">
        <f>IF(F25&gt;0.1,"⚠️ Dépassement",IF(F25&lt;-0.1,"✅ Économie","🔵 Normal"))</f>
        <v/>
      </c>
    </row>
    <row r="26">
      <c r="A26" s="27" t="inlineStr">
        <is>
          <t>Décembre</t>
        </is>
      </c>
      <c r="B26" s="47" t="n">
        <v>12</v>
      </c>
      <c r="C26" s="25">
        <f>SUMIF('📊 Données Brutes'!B:B,12,'📊 Données Brutes'!E:E)</f>
        <v/>
      </c>
      <c r="D26" s="25">
        <f>SUMIF('📊 Données Brutes'!B:B,12,'📊 Données Brutes'!F:F)</f>
        <v/>
      </c>
      <c r="E26" s="25">
        <f>D26-C26</f>
        <v/>
      </c>
      <c r="F26" s="26">
        <f>IF(C26=0,0,(D26-C26)/C26)</f>
        <v/>
      </c>
      <c r="G26" s="26">
        <f>IF(C26=0,0,D26/C26)</f>
        <v/>
      </c>
      <c r="H26" s="25">
        <f>SUM(C15:C26)</f>
        <v/>
      </c>
      <c r="I26" s="25">
        <f>SUM(D15:D26)</f>
        <v/>
      </c>
      <c r="J26" s="27">
        <f>IF(F26&gt;0.1,"⚠️ Dépassement",IF(F26&lt;-0.1,"✅ Économie","🔵 Normal"))</f>
        <v/>
      </c>
    </row>
    <row r="27">
      <c r="A27" s="19" t="inlineStr">
        <is>
          <t>TOTAL</t>
        </is>
      </c>
      <c r="B27" s="48" t="n"/>
      <c r="C27" s="49">
        <f>SUM(C15:C26)</f>
        <v/>
      </c>
      <c r="D27" s="49">
        <f>SUM(D15:D26)</f>
        <v/>
      </c>
      <c r="E27" s="49">
        <f>SUM(E15:E26)</f>
        <v/>
      </c>
      <c r="F27" s="50">
        <f>IF(C27=0,0,(D27-C27)/C27)</f>
        <v/>
      </c>
      <c r="G27" s="50">
        <f>IF(C27=0,0,D27/C27)</f>
        <v/>
      </c>
      <c r="H27" s="48" t="n"/>
      <c r="I27" s="48" t="n"/>
      <c r="J27" s="48" t="n"/>
    </row>
  </sheetData>
  <mergeCells count="3">
    <mergeCell ref="A1:J1"/>
    <mergeCell ref="A13:J13"/>
    <mergeCell ref="A3:J3"/>
  </mergeCells>
  <conditionalFormatting sqref="E5:E9">
    <cfRule type="cellIs" priority="1" operator="greaterThan" dxfId="0">
      <formula>0.1</formula>
    </cfRule>
    <cfRule type="cellIs" priority="2" operator="lessThan" dxfId="1">
      <formula>-0.05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10" customWidth="1" min="5" max="5"/>
    <col width="14" customWidth="1" min="6" max="6"/>
    <col width="12" customWidth="1" min="7" max="7"/>
    <col width="10" customWidth="1" min="8" max="8"/>
    <col width="14" customWidth="1" min="9" max="9"/>
    <col width="16" customWidth="1" min="10" max="10"/>
    <col width="16" customWidth="1" min="11" max="11"/>
  </cols>
  <sheetData>
    <row r="1" ht="32" customHeight="1">
      <c r="A1" s="35" t="inlineStr">
        <is>
          <t>ANALYSE PAR POSTE DE CHARGES &amp; ALERTES DE DÉPASSEMENT — ENCG SETTAT 2024-2025</t>
        </is>
      </c>
    </row>
    <row r="3" ht="24" customHeight="1">
      <c r="A3" s="18" t="inlineStr">
        <is>
          <t xml:space="preserve">  ▌ ANALYSE ANNUELLE PAR POSTE DE CHARGES — Tous départements confondus</t>
        </is>
      </c>
    </row>
    <row r="4" ht="36" customHeight="1">
      <c r="A4" s="43" t="inlineStr">
        <is>
          <t>Poste de Charges</t>
        </is>
      </c>
      <c r="B4" s="43" t="inlineStr">
        <is>
          <t>Budget Total</t>
        </is>
      </c>
      <c r="C4" s="43" t="inlineStr">
        <is>
          <t>Réalisé Total</t>
        </is>
      </c>
      <c r="D4" s="43" t="inlineStr">
        <is>
          <t>Écart (MAD)</t>
        </is>
      </c>
      <c r="E4" s="43" t="inlineStr">
        <is>
          <t>Écart (%)</t>
        </is>
      </c>
      <c r="F4" s="43" t="inlineStr">
        <is>
          <t>% Budget Total</t>
        </is>
      </c>
      <c r="G4" s="43" t="inlineStr">
        <is>
          <t>Taux Conso</t>
        </is>
      </c>
      <c r="H4" s="43" t="inlineStr">
        <is>
          <t>Nb Lignes</t>
        </is>
      </c>
      <c r="I4" s="43" t="inlineStr">
        <is>
          <t>Dépassements</t>
        </is>
      </c>
      <c r="J4" s="43" t="inlineStr">
        <is>
          <t>Statut</t>
        </is>
      </c>
      <c r="K4" s="43" t="inlineStr">
        <is>
          <t>Action</t>
        </is>
      </c>
    </row>
    <row r="5">
      <c r="A5" s="20" t="inlineStr">
        <is>
          <t>Salaires</t>
        </is>
      </c>
      <c r="B5" s="21">
        <f>SUMIF('📊 Données Brutes'!D:D,A5,'📊 Données Brutes'!E:E)</f>
        <v/>
      </c>
      <c r="C5" s="21">
        <f>SUMIF('📊 Données Brutes'!D:D,A5,'📊 Données Brutes'!F:F)</f>
        <v/>
      </c>
      <c r="D5" s="21">
        <f>C5-B5</f>
        <v/>
      </c>
      <c r="E5" s="22">
        <f>IF(B5=0,0,(C5-B5)/B5)</f>
        <v/>
      </c>
      <c r="F5" s="22">
        <f>IF(SUM(B$5:B$12)=0,0,B5/SUM(B$5:B$12))</f>
        <v/>
      </c>
      <c r="G5" s="22">
        <f>IF(B5=0,0,C5/B5)</f>
        <v/>
      </c>
      <c r="H5" s="45">
        <f>COUNTIF('📊 Données Brutes'!D:D,A5)</f>
        <v/>
      </c>
      <c r="I5" s="45">
        <f>COUNTIFS('📊 Données Brutes'!D:D,A5,'📊 Données Brutes'!I:I,"⚠️ Dépassement")</f>
        <v/>
      </c>
      <c r="J5" s="23">
        <f>IF(E5&gt;0.1,"🔴 CRITIQUE",IF(E5&gt;0.05,"🟠 Attention",IF(E5&lt;-0.1,"🟢 Économie","🔵 OK")))</f>
        <v/>
      </c>
      <c r="K5" s="23">
        <f>IF(E5&gt;0.1,"⚡ Action requise","—")</f>
        <v/>
      </c>
    </row>
    <row r="6">
      <c r="A6" s="24" t="inlineStr">
        <is>
          <t>Charges sociales</t>
        </is>
      </c>
      <c r="B6" s="25">
        <f>SUMIF('📊 Données Brutes'!D:D,A6,'📊 Données Brutes'!E:E)</f>
        <v/>
      </c>
      <c r="C6" s="25">
        <f>SUMIF('📊 Données Brutes'!D:D,A6,'📊 Données Brutes'!F:F)</f>
        <v/>
      </c>
      <c r="D6" s="25">
        <f>C6-B6</f>
        <v/>
      </c>
      <c r="E6" s="26">
        <f>IF(B6=0,0,(C6-B6)/B6)</f>
        <v/>
      </c>
      <c r="F6" s="26">
        <f>IF(SUM(B$5:B$12)=0,0,B6/SUM(B$5:B$12))</f>
        <v/>
      </c>
      <c r="G6" s="26">
        <f>IF(B6=0,0,C6/B6)</f>
        <v/>
      </c>
      <c r="H6" s="47">
        <f>COUNTIF('📊 Données Brutes'!D:D,A6)</f>
        <v/>
      </c>
      <c r="I6" s="47">
        <f>COUNTIFS('📊 Données Brutes'!D:D,A6,'📊 Données Brutes'!I:I,"⚠️ Dépassement")</f>
        <v/>
      </c>
      <c r="J6" s="27">
        <f>IF(E6&gt;0.1,"🔴 CRITIQUE",IF(E6&gt;0.05,"🟠 Attention",IF(E6&lt;-0.1,"🟢 Économie","🔵 OK")))</f>
        <v/>
      </c>
      <c r="K6" s="27">
        <f>IF(E6&gt;0.1,"⚡ Action requise","—")</f>
        <v/>
      </c>
    </row>
    <row r="7">
      <c r="A7" s="20" t="inlineStr">
        <is>
          <t>Loyer &amp; Charges</t>
        </is>
      </c>
      <c r="B7" s="21">
        <f>SUMIF('📊 Données Brutes'!D:D,A7,'📊 Données Brutes'!E:E)</f>
        <v/>
      </c>
      <c r="C7" s="21">
        <f>SUMIF('📊 Données Brutes'!D:D,A7,'📊 Données Brutes'!F:F)</f>
        <v/>
      </c>
      <c r="D7" s="21">
        <f>C7-B7</f>
        <v/>
      </c>
      <c r="E7" s="22">
        <f>IF(B7=0,0,(C7-B7)/B7)</f>
        <v/>
      </c>
      <c r="F7" s="22">
        <f>IF(SUM(B$5:B$12)=0,0,B7/SUM(B$5:B$12))</f>
        <v/>
      </c>
      <c r="G7" s="22">
        <f>IF(B7=0,0,C7/B7)</f>
        <v/>
      </c>
      <c r="H7" s="45">
        <f>COUNTIF('📊 Données Brutes'!D:D,A7)</f>
        <v/>
      </c>
      <c r="I7" s="45">
        <f>COUNTIFS('📊 Données Brutes'!D:D,A7,'📊 Données Brutes'!I:I,"⚠️ Dépassement")</f>
        <v/>
      </c>
      <c r="J7" s="23">
        <f>IF(E7&gt;0.1,"🔴 CRITIQUE",IF(E7&gt;0.05,"🟠 Attention",IF(E7&lt;-0.1,"🟢 Économie","🔵 OK")))</f>
        <v/>
      </c>
      <c r="K7" s="23">
        <f>IF(E7&gt;0.1,"⚡ Action requise","—")</f>
        <v/>
      </c>
    </row>
    <row r="8">
      <c r="A8" s="24" t="inlineStr">
        <is>
          <t>Matières &amp; Fournitures</t>
        </is>
      </c>
      <c r="B8" s="25">
        <f>SUMIF('📊 Données Brutes'!D:D,A8,'📊 Données Brutes'!E:E)</f>
        <v/>
      </c>
      <c r="C8" s="25">
        <f>SUMIF('📊 Données Brutes'!D:D,A8,'📊 Données Brutes'!F:F)</f>
        <v/>
      </c>
      <c r="D8" s="25">
        <f>C8-B8</f>
        <v/>
      </c>
      <c r="E8" s="26">
        <f>IF(B8=0,0,(C8-B8)/B8)</f>
        <v/>
      </c>
      <c r="F8" s="26">
        <f>IF(SUM(B$5:B$12)=0,0,B8/SUM(B$5:B$12))</f>
        <v/>
      </c>
      <c r="G8" s="26">
        <f>IF(B8=0,0,C8/B8)</f>
        <v/>
      </c>
      <c r="H8" s="47">
        <f>COUNTIF('📊 Données Brutes'!D:D,A8)</f>
        <v/>
      </c>
      <c r="I8" s="47">
        <f>COUNTIFS('📊 Données Brutes'!D:D,A8,'📊 Données Brutes'!I:I,"⚠️ Dépassement")</f>
        <v/>
      </c>
      <c r="J8" s="27">
        <f>IF(E8&gt;0.1,"🔴 CRITIQUE",IF(E8&gt;0.05,"🟠 Attention",IF(E8&lt;-0.1,"🟢 Économie","🔵 OK")))</f>
        <v/>
      </c>
      <c r="K8" s="27">
        <f>IF(E8&gt;0.1,"⚡ Action requise","—")</f>
        <v/>
      </c>
    </row>
    <row r="9">
      <c r="A9" s="20" t="inlineStr">
        <is>
          <t>Informatique &amp; Licences</t>
        </is>
      </c>
      <c r="B9" s="21">
        <f>SUMIF('📊 Données Brutes'!D:D,A9,'📊 Données Brutes'!E:E)</f>
        <v/>
      </c>
      <c r="C9" s="21">
        <f>SUMIF('📊 Données Brutes'!D:D,A9,'📊 Données Brutes'!F:F)</f>
        <v/>
      </c>
      <c r="D9" s="21">
        <f>C9-B9</f>
        <v/>
      </c>
      <c r="E9" s="22">
        <f>IF(B9=0,0,(C9-B9)/B9)</f>
        <v/>
      </c>
      <c r="F9" s="22">
        <f>IF(SUM(B$5:B$12)=0,0,B9/SUM(B$5:B$12))</f>
        <v/>
      </c>
      <c r="G9" s="22">
        <f>IF(B9=0,0,C9/B9)</f>
        <v/>
      </c>
      <c r="H9" s="45">
        <f>COUNTIF('📊 Données Brutes'!D:D,A9)</f>
        <v/>
      </c>
      <c r="I9" s="45">
        <f>COUNTIFS('📊 Données Brutes'!D:D,A9,'📊 Données Brutes'!I:I,"⚠️ Dépassement")</f>
        <v/>
      </c>
      <c r="J9" s="23">
        <f>IF(E9&gt;0.1,"🔴 CRITIQUE",IF(E9&gt;0.05,"🟠 Attention",IF(E9&lt;-0.1,"🟢 Économie","🔵 OK")))</f>
        <v/>
      </c>
      <c r="K9" s="23">
        <f>IF(E9&gt;0.1,"⚡ Action requise","—")</f>
        <v/>
      </c>
    </row>
    <row r="10">
      <c r="A10" s="24" t="inlineStr">
        <is>
          <t>Déplacements &amp; Missions</t>
        </is>
      </c>
      <c r="B10" s="25">
        <f>SUMIF('📊 Données Brutes'!D:D,A10,'📊 Données Brutes'!E:E)</f>
        <v/>
      </c>
      <c r="C10" s="25">
        <f>SUMIF('📊 Données Brutes'!D:D,A10,'📊 Données Brutes'!F:F)</f>
        <v/>
      </c>
      <c r="D10" s="25">
        <f>C10-B10</f>
        <v/>
      </c>
      <c r="E10" s="26">
        <f>IF(B10=0,0,(C10-B10)/B10)</f>
        <v/>
      </c>
      <c r="F10" s="26">
        <f>IF(SUM(B$5:B$12)=0,0,B10/SUM(B$5:B$12))</f>
        <v/>
      </c>
      <c r="G10" s="26">
        <f>IF(B10=0,0,C10/B10)</f>
        <v/>
      </c>
      <c r="H10" s="47">
        <f>COUNTIF('📊 Données Brutes'!D:D,A10)</f>
        <v/>
      </c>
      <c r="I10" s="47">
        <f>COUNTIFS('📊 Données Brutes'!D:D,A10,'📊 Données Brutes'!I:I,"⚠️ Dépassement")</f>
        <v/>
      </c>
      <c r="J10" s="27">
        <f>IF(E10&gt;0.1,"🔴 CRITIQUE",IF(E10&gt;0.05,"🟠 Attention",IF(E10&lt;-0.1,"🟢 Économie","🔵 OK")))</f>
        <v/>
      </c>
      <c r="K10" s="27">
        <f>IF(E10&gt;0.1,"⚡ Action requise","—")</f>
        <v/>
      </c>
    </row>
    <row r="11">
      <c r="A11" s="20" t="inlineStr">
        <is>
          <t>Formation</t>
        </is>
      </c>
      <c r="B11" s="21">
        <f>SUMIF('📊 Données Brutes'!D:D,A11,'📊 Données Brutes'!E:E)</f>
        <v/>
      </c>
      <c r="C11" s="21">
        <f>SUMIF('📊 Données Brutes'!D:D,A11,'📊 Données Brutes'!F:F)</f>
        <v/>
      </c>
      <c r="D11" s="21">
        <f>C11-B11</f>
        <v/>
      </c>
      <c r="E11" s="22">
        <f>IF(B11=0,0,(C11-B11)/B11)</f>
        <v/>
      </c>
      <c r="F11" s="22">
        <f>IF(SUM(B$5:B$12)=0,0,B11/SUM(B$5:B$12))</f>
        <v/>
      </c>
      <c r="G11" s="22">
        <f>IF(B11=0,0,C11/B11)</f>
        <v/>
      </c>
      <c r="H11" s="45">
        <f>COUNTIF('📊 Données Brutes'!D:D,A11)</f>
        <v/>
      </c>
      <c r="I11" s="45">
        <f>COUNTIFS('📊 Données Brutes'!D:D,A11,'📊 Données Brutes'!I:I,"⚠️ Dépassement")</f>
        <v/>
      </c>
      <c r="J11" s="23">
        <f>IF(E11&gt;0.1,"🔴 CRITIQUE",IF(E11&gt;0.05,"🟠 Attention",IF(E11&lt;-0.1,"🟢 Économie","🔵 OK")))</f>
        <v/>
      </c>
      <c r="K11" s="23">
        <f>IF(E11&gt;0.1,"⚡ Action requise","—")</f>
        <v/>
      </c>
    </row>
    <row r="12">
      <c r="A12" s="24" t="inlineStr">
        <is>
          <t>Publicité &amp; Communication</t>
        </is>
      </c>
      <c r="B12" s="25">
        <f>SUMIF('📊 Données Brutes'!D:D,A12,'📊 Données Brutes'!E:E)</f>
        <v/>
      </c>
      <c r="C12" s="25">
        <f>SUMIF('📊 Données Brutes'!D:D,A12,'📊 Données Brutes'!F:F)</f>
        <v/>
      </c>
      <c r="D12" s="25">
        <f>C12-B12</f>
        <v/>
      </c>
      <c r="E12" s="26">
        <f>IF(B12=0,0,(C12-B12)/B12)</f>
        <v/>
      </c>
      <c r="F12" s="26">
        <f>IF(SUM(B$5:B$12)=0,0,B12/SUM(B$5:B$12))</f>
        <v/>
      </c>
      <c r="G12" s="26">
        <f>IF(B12=0,0,C12/B12)</f>
        <v/>
      </c>
      <c r="H12" s="47">
        <f>COUNTIF('📊 Données Brutes'!D:D,A12)</f>
        <v/>
      </c>
      <c r="I12" s="47">
        <f>COUNTIFS('📊 Données Brutes'!D:D,A12,'📊 Données Brutes'!I:I,"⚠️ Dépassement")</f>
        <v/>
      </c>
      <c r="J12" s="27">
        <f>IF(E12&gt;0.1,"🔴 CRITIQUE",IF(E12&gt;0.05,"🟠 Attention",IF(E12&lt;-0.1,"🟢 Économie","🔵 OK")))</f>
        <v/>
      </c>
      <c r="K12" s="27">
        <f>IF(E12&gt;0.1,"⚡ Action requise","—")</f>
        <v/>
      </c>
    </row>
    <row r="13">
      <c r="A13" s="19" t="inlineStr">
        <is>
          <t>TOTAL</t>
        </is>
      </c>
      <c r="B13" s="49">
        <f>SUM(B5:B12)</f>
        <v/>
      </c>
      <c r="C13" s="49">
        <f>SUM(C5:C12)</f>
        <v/>
      </c>
      <c r="D13" s="49">
        <f>SUM(D5:D12)</f>
        <v/>
      </c>
      <c r="E13" s="50">
        <f>IF(B13=0,0,(C13-B13)/B13)</f>
        <v/>
      </c>
      <c r="F13" s="48" t="n"/>
      <c r="G13" s="48" t="n"/>
      <c r="H13" s="48" t="n"/>
      <c r="I13" s="48" t="n"/>
      <c r="J13" s="48" t="n"/>
      <c r="K13" s="48" t="n"/>
    </row>
    <row r="15" ht="8" customHeight="1"/>
    <row r="16" ht="24" customHeight="1">
      <c r="A16" s="18" t="inlineStr">
        <is>
          <t xml:space="preserve">  ▌ TABLE CROISÉE — TAUX DE RÉALISATION PAR DÉPARTEMENT × POSTE (annuel, % budget réalisé)</t>
        </is>
      </c>
    </row>
    <row r="17">
      <c r="A17" s="51" t="inlineStr">
        <is>
          <t>Dépt \ Poste</t>
        </is>
      </c>
      <c r="B17" s="52" t="inlineStr">
        <is>
          <t>Salaires</t>
        </is>
      </c>
      <c r="C17" s="52" t="inlineStr">
        <is>
          <t>Chg Soc.</t>
        </is>
      </c>
      <c r="D17" s="52" t="inlineStr">
        <is>
          <t>Loyer</t>
        </is>
      </c>
      <c r="E17" s="52" t="inlineStr">
        <is>
          <t>Matières</t>
        </is>
      </c>
      <c r="F17" s="52" t="inlineStr">
        <is>
          <t>Informatiq.</t>
        </is>
      </c>
      <c r="G17" s="52" t="inlineStr">
        <is>
          <t>Déplacemts</t>
        </is>
      </c>
      <c r="H17" s="52" t="inlineStr">
        <is>
          <t>Formation</t>
        </is>
      </c>
      <c r="I17" s="52" t="inlineStr">
        <is>
          <t>Publicité</t>
        </is>
      </c>
    </row>
    <row r="18">
      <c r="A18" s="24" t="inlineStr">
        <is>
          <t>RH</t>
        </is>
      </c>
      <c r="B18" s="53">
        <f>IFERROR(SUMPRODUCT(('📊 Données Brutes'!C$3:C$481=A18)*('📊 Données Brutes'!D$3:D$481="Salaires")*'📊 Données Brutes'!F$3:F$481)/SUMPRODUCT(('📊 Données Brutes'!C$3:C$481=A18)*('📊 Données Brutes'!D$3:D$481="Salaires")*'📊 Données Brutes'!E$3:E$481),0)</f>
        <v/>
      </c>
      <c r="C18" s="53">
        <f>IFERROR(SUMPRODUCT(('📊 Données Brutes'!C$3:C$481=A18)*('📊 Données Brutes'!D$3:D$481="Charges sociales")*'📊 Données Brutes'!F$3:F$481)/SUMPRODUCT(('📊 Données Brutes'!C$3:C$481=A18)*('📊 Données Brutes'!D$3:D$481="Charges sociales")*'📊 Données Brutes'!E$3:E$481),0)</f>
        <v/>
      </c>
      <c r="D18" s="53">
        <f>IFERROR(SUMPRODUCT(('📊 Données Brutes'!C$3:C$481=A18)*('📊 Données Brutes'!D$3:D$481="Loyer &amp; Charges")*'📊 Données Brutes'!F$3:F$481)/SUMPRODUCT(('📊 Données Brutes'!C$3:C$481=A18)*('📊 Données Brutes'!D$3:D$481="Loyer &amp; Charges")*'📊 Données Brutes'!E$3:E$481),0)</f>
        <v/>
      </c>
      <c r="E18" s="53">
        <f>IFERROR(SUMPRODUCT(('📊 Données Brutes'!C$3:C$481=A18)*('📊 Données Brutes'!D$3:D$481="Matières &amp; Fournitures")*'📊 Données Brutes'!F$3:F$481)/SUMPRODUCT(('📊 Données Brutes'!C$3:C$481=A18)*('📊 Données Brutes'!D$3:D$481="Matières &amp; Fournitures")*'📊 Données Brutes'!E$3:E$481),0)</f>
        <v/>
      </c>
      <c r="F18" s="53">
        <f>IFERROR(SUMPRODUCT(('📊 Données Brutes'!C$3:C$481=A18)*('📊 Données Brutes'!D$3:D$481="Informatique &amp; Licences")*'📊 Données Brutes'!F$3:F$481)/SUMPRODUCT(('📊 Données Brutes'!C$3:C$481=A18)*('📊 Données Brutes'!D$3:D$481="Informatique &amp; Licences")*'📊 Données Brutes'!E$3:E$481),0)</f>
        <v/>
      </c>
      <c r="G18" s="53">
        <f>IFERROR(SUMPRODUCT(('📊 Données Brutes'!C$3:C$481=A18)*('📊 Données Brutes'!D$3:D$481="Déplacements &amp; Missions")*'📊 Données Brutes'!F$3:F$481)/SUMPRODUCT(('📊 Données Brutes'!C$3:C$481=A18)*('📊 Données Brutes'!D$3:D$481="Déplacements &amp; Missions")*'📊 Données Brutes'!E$3:E$481),0)</f>
        <v/>
      </c>
      <c r="H18" s="53">
        <f>IFERROR(SUMPRODUCT(('📊 Données Brutes'!C$3:C$481=A18)*('📊 Données Brutes'!D$3:D$481="Formation")*'📊 Données Brutes'!F$3:F$481)/SUMPRODUCT(('📊 Données Brutes'!C$3:C$481=A18)*('📊 Données Brutes'!D$3:D$481="Formation")*'📊 Données Brutes'!E$3:E$481),0)</f>
        <v/>
      </c>
      <c r="I18" s="53">
        <f>IFERROR(SUMPRODUCT(('📊 Données Brutes'!C$3:C$481=A18)*('📊 Données Brutes'!D$3:D$481="Publicité &amp; Communication")*'📊 Données Brutes'!F$3:F$481)/SUMPRODUCT(('📊 Données Brutes'!C$3:C$481=A18)*('📊 Données Brutes'!D$3:D$481="Publicité &amp; Communication")*'📊 Données Brutes'!E$3:E$481),0)</f>
        <v/>
      </c>
    </row>
    <row r="19">
      <c r="A19" s="24" t="inlineStr">
        <is>
          <t>Marketing</t>
        </is>
      </c>
      <c r="B19" s="53">
        <f>IFERROR(SUMPRODUCT(('📊 Données Brutes'!C$3:C$481=A19)*('📊 Données Brutes'!D$3:D$481="Salaires")*'📊 Données Brutes'!F$3:F$481)/SUMPRODUCT(('📊 Données Brutes'!C$3:C$481=A19)*('📊 Données Brutes'!D$3:D$481="Salaires")*'📊 Données Brutes'!E$3:E$481),0)</f>
        <v/>
      </c>
      <c r="C19" s="53">
        <f>IFERROR(SUMPRODUCT(('📊 Données Brutes'!C$3:C$481=A19)*('📊 Données Brutes'!D$3:D$481="Charges sociales")*'📊 Données Brutes'!F$3:F$481)/SUMPRODUCT(('📊 Données Brutes'!C$3:C$481=A19)*('📊 Données Brutes'!D$3:D$481="Charges sociales")*'📊 Données Brutes'!E$3:E$481),0)</f>
        <v/>
      </c>
      <c r="D19" s="53">
        <f>IFERROR(SUMPRODUCT(('📊 Données Brutes'!C$3:C$481=A19)*('📊 Données Brutes'!D$3:D$481="Loyer &amp; Charges")*'📊 Données Brutes'!F$3:F$481)/SUMPRODUCT(('📊 Données Brutes'!C$3:C$481=A19)*('📊 Données Brutes'!D$3:D$481="Loyer &amp; Charges")*'📊 Données Brutes'!E$3:E$481),0)</f>
        <v/>
      </c>
      <c r="E19" s="53">
        <f>IFERROR(SUMPRODUCT(('📊 Données Brutes'!C$3:C$481=A19)*('📊 Données Brutes'!D$3:D$481="Matières &amp; Fournitures")*'📊 Données Brutes'!F$3:F$481)/SUMPRODUCT(('📊 Données Brutes'!C$3:C$481=A19)*('📊 Données Brutes'!D$3:D$481="Matières &amp; Fournitures")*'📊 Données Brutes'!E$3:E$481),0)</f>
        <v/>
      </c>
      <c r="F19" s="53">
        <f>IFERROR(SUMPRODUCT(('📊 Données Brutes'!C$3:C$481=A19)*('📊 Données Brutes'!D$3:D$481="Informatique &amp; Licences")*'📊 Données Brutes'!F$3:F$481)/SUMPRODUCT(('📊 Données Brutes'!C$3:C$481=A19)*('📊 Données Brutes'!D$3:D$481="Informatique &amp; Licences")*'📊 Données Brutes'!E$3:E$481),0)</f>
        <v/>
      </c>
      <c r="G19" s="53">
        <f>IFERROR(SUMPRODUCT(('📊 Données Brutes'!C$3:C$481=A19)*('📊 Données Brutes'!D$3:D$481="Déplacements &amp; Missions")*'📊 Données Brutes'!F$3:F$481)/SUMPRODUCT(('📊 Données Brutes'!C$3:C$481=A19)*('📊 Données Brutes'!D$3:D$481="Déplacements &amp; Missions")*'📊 Données Brutes'!E$3:E$481),0)</f>
        <v/>
      </c>
      <c r="H19" s="53">
        <f>IFERROR(SUMPRODUCT(('📊 Données Brutes'!C$3:C$481=A19)*('📊 Données Brutes'!D$3:D$481="Formation")*'📊 Données Brutes'!F$3:F$481)/SUMPRODUCT(('📊 Données Brutes'!C$3:C$481=A19)*('📊 Données Brutes'!D$3:D$481="Formation")*'📊 Données Brutes'!E$3:E$481),0)</f>
        <v/>
      </c>
      <c r="I19" s="53">
        <f>IFERROR(SUMPRODUCT(('📊 Données Brutes'!C$3:C$481=A19)*('📊 Données Brutes'!D$3:D$481="Publicité &amp; Communication")*'📊 Données Brutes'!F$3:F$481)/SUMPRODUCT(('📊 Données Brutes'!C$3:C$481=A19)*('📊 Données Brutes'!D$3:D$481="Publicité &amp; Communication")*'📊 Données Brutes'!E$3:E$481),0)</f>
        <v/>
      </c>
    </row>
    <row r="20">
      <c r="A20" s="24" t="inlineStr">
        <is>
          <t>Production</t>
        </is>
      </c>
      <c r="B20" s="53">
        <f>IFERROR(SUMPRODUCT(('📊 Données Brutes'!C$3:C$481=A20)*('📊 Données Brutes'!D$3:D$481="Salaires")*'📊 Données Brutes'!F$3:F$481)/SUMPRODUCT(('📊 Données Brutes'!C$3:C$481=A20)*('📊 Données Brutes'!D$3:D$481="Salaires")*'📊 Données Brutes'!E$3:E$481),0)</f>
        <v/>
      </c>
      <c r="C20" s="53">
        <f>IFERROR(SUMPRODUCT(('📊 Données Brutes'!C$3:C$481=A20)*('📊 Données Brutes'!D$3:D$481="Charges sociales")*'📊 Données Brutes'!F$3:F$481)/SUMPRODUCT(('📊 Données Brutes'!C$3:C$481=A20)*('📊 Données Brutes'!D$3:D$481="Charges sociales")*'📊 Données Brutes'!E$3:E$481),0)</f>
        <v/>
      </c>
      <c r="D20" s="53">
        <f>IFERROR(SUMPRODUCT(('📊 Données Brutes'!C$3:C$481=A20)*('📊 Données Brutes'!D$3:D$481="Loyer &amp; Charges")*'📊 Données Brutes'!F$3:F$481)/SUMPRODUCT(('📊 Données Brutes'!C$3:C$481=A20)*('📊 Données Brutes'!D$3:D$481="Loyer &amp; Charges")*'📊 Données Brutes'!E$3:E$481),0)</f>
        <v/>
      </c>
      <c r="E20" s="53">
        <f>IFERROR(SUMPRODUCT(('📊 Données Brutes'!C$3:C$481=A20)*('📊 Données Brutes'!D$3:D$481="Matières &amp; Fournitures")*'📊 Données Brutes'!F$3:F$481)/SUMPRODUCT(('📊 Données Brutes'!C$3:C$481=A20)*('📊 Données Brutes'!D$3:D$481="Matières &amp; Fournitures")*'📊 Données Brutes'!E$3:E$481),0)</f>
        <v/>
      </c>
      <c r="F20" s="53">
        <f>IFERROR(SUMPRODUCT(('📊 Données Brutes'!C$3:C$481=A20)*('📊 Données Brutes'!D$3:D$481="Informatique &amp; Licences")*'📊 Données Brutes'!F$3:F$481)/SUMPRODUCT(('📊 Données Brutes'!C$3:C$481=A20)*('📊 Données Brutes'!D$3:D$481="Informatique &amp; Licences")*'📊 Données Brutes'!E$3:E$481),0)</f>
        <v/>
      </c>
      <c r="G20" s="53">
        <f>IFERROR(SUMPRODUCT(('📊 Données Brutes'!C$3:C$481=A20)*('📊 Données Brutes'!D$3:D$481="Déplacements &amp; Missions")*'📊 Données Brutes'!F$3:F$481)/SUMPRODUCT(('📊 Données Brutes'!C$3:C$481=A20)*('📊 Données Brutes'!D$3:D$481="Déplacements &amp; Missions")*'📊 Données Brutes'!E$3:E$481),0)</f>
        <v/>
      </c>
      <c r="H20" s="53">
        <f>IFERROR(SUMPRODUCT(('📊 Données Brutes'!C$3:C$481=A20)*('📊 Données Brutes'!D$3:D$481="Formation")*'📊 Données Brutes'!F$3:F$481)/SUMPRODUCT(('📊 Données Brutes'!C$3:C$481=A20)*('📊 Données Brutes'!D$3:D$481="Formation")*'📊 Données Brutes'!E$3:E$481),0)</f>
        <v/>
      </c>
      <c r="I20" s="53">
        <f>IFERROR(SUMPRODUCT(('📊 Données Brutes'!C$3:C$481=A20)*('📊 Données Brutes'!D$3:D$481="Publicité &amp; Communication")*'📊 Données Brutes'!F$3:F$481)/SUMPRODUCT(('📊 Données Brutes'!C$3:C$481=A20)*('📊 Données Brutes'!D$3:D$481="Publicité &amp; Communication")*'📊 Données Brutes'!E$3:E$481),0)</f>
        <v/>
      </c>
    </row>
    <row r="21">
      <c r="A21" s="24" t="inlineStr">
        <is>
          <t>IT</t>
        </is>
      </c>
      <c r="B21" s="53">
        <f>IFERROR(SUMPRODUCT(('📊 Données Brutes'!C$3:C$481=A21)*('📊 Données Brutes'!D$3:D$481="Salaires")*'📊 Données Brutes'!F$3:F$481)/SUMPRODUCT(('📊 Données Brutes'!C$3:C$481=A21)*('📊 Données Brutes'!D$3:D$481="Salaires")*'📊 Données Brutes'!E$3:E$481),0)</f>
        <v/>
      </c>
      <c r="C21" s="53">
        <f>IFERROR(SUMPRODUCT(('📊 Données Brutes'!C$3:C$481=A21)*('📊 Données Brutes'!D$3:D$481="Charges sociales")*'📊 Données Brutes'!F$3:F$481)/SUMPRODUCT(('📊 Données Brutes'!C$3:C$481=A21)*('📊 Données Brutes'!D$3:D$481="Charges sociales")*'📊 Données Brutes'!E$3:E$481),0)</f>
        <v/>
      </c>
      <c r="D21" s="53">
        <f>IFERROR(SUMPRODUCT(('📊 Données Brutes'!C$3:C$481=A21)*('📊 Données Brutes'!D$3:D$481="Loyer &amp; Charges")*'📊 Données Brutes'!F$3:F$481)/SUMPRODUCT(('📊 Données Brutes'!C$3:C$481=A21)*('📊 Données Brutes'!D$3:D$481="Loyer &amp; Charges")*'📊 Données Brutes'!E$3:E$481),0)</f>
        <v/>
      </c>
      <c r="E21" s="53">
        <f>IFERROR(SUMPRODUCT(('📊 Données Brutes'!C$3:C$481=A21)*('📊 Données Brutes'!D$3:D$481="Matières &amp; Fournitures")*'📊 Données Brutes'!F$3:F$481)/SUMPRODUCT(('📊 Données Brutes'!C$3:C$481=A21)*('📊 Données Brutes'!D$3:D$481="Matières &amp; Fournitures")*'📊 Données Brutes'!E$3:E$481),0)</f>
        <v/>
      </c>
      <c r="F21" s="53">
        <f>IFERROR(SUMPRODUCT(('📊 Données Brutes'!C$3:C$481=A21)*('📊 Données Brutes'!D$3:D$481="Informatique &amp; Licences")*'📊 Données Brutes'!F$3:F$481)/SUMPRODUCT(('📊 Données Brutes'!C$3:C$481=A21)*('📊 Données Brutes'!D$3:D$481="Informatique &amp; Licences")*'📊 Données Brutes'!E$3:E$481),0)</f>
        <v/>
      </c>
      <c r="G21" s="53">
        <f>IFERROR(SUMPRODUCT(('📊 Données Brutes'!C$3:C$481=A21)*('📊 Données Brutes'!D$3:D$481="Déplacements &amp; Missions")*'📊 Données Brutes'!F$3:F$481)/SUMPRODUCT(('📊 Données Brutes'!C$3:C$481=A21)*('📊 Données Brutes'!D$3:D$481="Déplacements &amp; Missions")*'📊 Données Brutes'!E$3:E$481),0)</f>
        <v/>
      </c>
      <c r="H21" s="53">
        <f>IFERROR(SUMPRODUCT(('📊 Données Brutes'!C$3:C$481=A21)*('📊 Données Brutes'!D$3:D$481="Formation")*'📊 Données Brutes'!F$3:F$481)/SUMPRODUCT(('📊 Données Brutes'!C$3:C$481=A21)*('📊 Données Brutes'!D$3:D$481="Formation")*'📊 Données Brutes'!E$3:E$481),0)</f>
        <v/>
      </c>
      <c r="I21" s="53">
        <f>IFERROR(SUMPRODUCT(('📊 Données Brutes'!C$3:C$481=A21)*('📊 Données Brutes'!D$3:D$481="Publicité &amp; Communication")*'📊 Données Brutes'!F$3:F$481)/SUMPRODUCT(('📊 Données Brutes'!C$3:C$481=A21)*('📊 Données Brutes'!D$3:D$481="Publicité &amp; Communication")*'📊 Données Brutes'!E$3:E$481),0)</f>
        <v/>
      </c>
    </row>
    <row r="22">
      <c r="A22" s="24" t="inlineStr">
        <is>
          <t>Administration</t>
        </is>
      </c>
      <c r="B22" s="53">
        <f>IFERROR(SUMPRODUCT(('📊 Données Brutes'!C$3:C$481=A22)*('📊 Données Brutes'!D$3:D$481="Salaires")*'📊 Données Brutes'!F$3:F$481)/SUMPRODUCT(('📊 Données Brutes'!C$3:C$481=A22)*('📊 Données Brutes'!D$3:D$481="Salaires")*'📊 Données Brutes'!E$3:E$481),0)</f>
        <v/>
      </c>
      <c r="C22" s="53">
        <f>IFERROR(SUMPRODUCT(('📊 Données Brutes'!C$3:C$481=A22)*('📊 Données Brutes'!D$3:D$481="Charges sociales")*'📊 Données Brutes'!F$3:F$481)/SUMPRODUCT(('📊 Données Brutes'!C$3:C$481=A22)*('📊 Données Brutes'!D$3:D$481="Charges sociales")*'📊 Données Brutes'!E$3:E$481),0)</f>
        <v/>
      </c>
      <c r="D22" s="53">
        <f>IFERROR(SUMPRODUCT(('📊 Données Brutes'!C$3:C$481=A22)*('📊 Données Brutes'!D$3:D$481="Loyer &amp; Charges")*'📊 Données Brutes'!F$3:F$481)/SUMPRODUCT(('📊 Données Brutes'!C$3:C$481=A22)*('📊 Données Brutes'!D$3:D$481="Loyer &amp; Charges")*'📊 Données Brutes'!E$3:E$481),0)</f>
        <v/>
      </c>
      <c r="E22" s="53">
        <f>IFERROR(SUMPRODUCT(('📊 Données Brutes'!C$3:C$481=A22)*('📊 Données Brutes'!D$3:D$481="Matières &amp; Fournitures")*'📊 Données Brutes'!F$3:F$481)/SUMPRODUCT(('📊 Données Brutes'!C$3:C$481=A22)*('📊 Données Brutes'!D$3:D$481="Matières &amp; Fournitures")*'📊 Données Brutes'!E$3:E$481),0)</f>
        <v/>
      </c>
      <c r="F22" s="53">
        <f>IFERROR(SUMPRODUCT(('📊 Données Brutes'!C$3:C$481=A22)*('📊 Données Brutes'!D$3:D$481="Informatique &amp; Licences")*'📊 Données Brutes'!F$3:F$481)/SUMPRODUCT(('📊 Données Brutes'!C$3:C$481=A22)*('📊 Données Brutes'!D$3:D$481="Informatique &amp; Licences")*'📊 Données Brutes'!E$3:E$481),0)</f>
        <v/>
      </c>
      <c r="G22" s="53">
        <f>IFERROR(SUMPRODUCT(('📊 Données Brutes'!C$3:C$481=A22)*('📊 Données Brutes'!D$3:D$481="Déplacements &amp; Missions")*'📊 Données Brutes'!F$3:F$481)/SUMPRODUCT(('📊 Données Brutes'!C$3:C$481=A22)*('📊 Données Brutes'!D$3:D$481="Déplacements &amp; Missions")*'📊 Données Brutes'!E$3:E$481),0)</f>
        <v/>
      </c>
      <c r="H22" s="53">
        <f>IFERROR(SUMPRODUCT(('📊 Données Brutes'!C$3:C$481=A22)*('📊 Données Brutes'!D$3:D$481="Formation")*'📊 Données Brutes'!F$3:F$481)/SUMPRODUCT(('📊 Données Brutes'!C$3:C$481=A22)*('📊 Données Brutes'!D$3:D$481="Formation")*'📊 Données Brutes'!E$3:E$481),0)</f>
        <v/>
      </c>
      <c r="I22" s="53">
        <f>IFERROR(SUMPRODUCT(('📊 Données Brutes'!C$3:C$481=A22)*('📊 Données Brutes'!D$3:D$481="Publicité &amp; Communication")*'📊 Données Brutes'!F$3:F$481)/SUMPRODUCT(('📊 Données Brutes'!C$3:C$481=A22)*('📊 Données Brutes'!D$3:D$481="Publicité &amp; Communication")*'📊 Données Brutes'!E$3:E$481),0)</f>
        <v/>
      </c>
    </row>
  </sheetData>
  <mergeCells count="3">
    <mergeCell ref="A16:K16"/>
    <mergeCell ref="A1:K1"/>
    <mergeCell ref="A3:K3"/>
  </mergeCells>
  <conditionalFormatting sqref="E5:E12">
    <cfRule type="cellIs" priority="1" operator="greaterThan" dxfId="0">
      <formula>0.1</formula>
    </cfRule>
    <cfRule type="cellIs" priority="2" operator="lessThan" dxfId="1">
      <formula>-0.05</formula>
    </cfRule>
  </conditionalFormatting>
  <conditionalFormatting sqref="B18:I22">
    <cfRule type="colorScale" priority="3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2026-03-29T00:51:37Z</dcterms:created>
  <dcterms:modified xmlns:dcterms="http://purl.org/dc/terms/" xmlns:xsi="http://www.w3.org/2001/XMLSchema-instance" xsi:type="dcterms:W3CDTF">2026-03-29T00:51:38Z</dcterms:modified>
</cp:coreProperties>
</file>